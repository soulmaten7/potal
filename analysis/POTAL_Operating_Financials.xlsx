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고정지출" sheetId="1" state="visible" r:id="rId3"/>
    <sheet name="수익시뮬레이션" sheetId="2" state="visible" r:id="rId4"/>
    <sheet name="요금표요약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<sst xmlns="http://schemas.openxmlformats.org/spreadsheetml/2006/main" count="116" uniqueCount="108">
  <si>
    <t xml:space="preserve">항목</t>
  </si>
  <si>
    <r>
      <rPr>
        <b val="true"/>
        <sz val="11"/>
        <color rgb="FFFFFFFF"/>
        <rFont val="DejaVu Sans"/>
        <family val="2"/>
      </rPr>
      <t xml:space="preserve">월 비용 </t>
    </r>
    <r>
      <rPr>
        <b val="true"/>
        <sz val="11"/>
        <color rgb="FFFFFFFF"/>
        <rFont val="Arial"/>
        <family val="0"/>
        <charset val="1"/>
      </rPr>
      <t xml:space="preserve">($)</t>
    </r>
  </si>
  <si>
    <r>
      <rPr>
        <b val="true"/>
        <sz val="11"/>
        <color rgb="FFFFFFFF"/>
        <rFont val="DejaVu Sans"/>
        <family val="2"/>
      </rPr>
      <t xml:space="preserve">연 비용 </t>
    </r>
    <r>
      <rPr>
        <b val="true"/>
        <sz val="11"/>
        <color rgb="FFFFFFFF"/>
        <rFont val="Arial"/>
        <family val="0"/>
        <charset val="1"/>
      </rPr>
      <t xml:space="preserve">($)</t>
    </r>
  </si>
  <si>
    <t xml:space="preserve">비고</t>
  </si>
  <si>
    <r>
      <rPr>
        <b val="true"/>
        <sz val="10"/>
        <rFont val="DejaVu Sans"/>
        <family val="2"/>
      </rPr>
      <t xml:space="preserve">🏗️ 인프라 </t>
    </r>
    <r>
      <rPr>
        <b val="true"/>
        <sz val="10"/>
        <rFont val="Arial"/>
        <family val="0"/>
        <charset val="1"/>
      </rPr>
      <t xml:space="preserve">(Infrastructure)</t>
    </r>
  </si>
  <si>
    <t xml:space="preserve">Vercel Pro</t>
  </si>
  <si>
    <r>
      <rPr>
        <i val="true"/>
        <sz val="9"/>
        <color rgb="FF808080"/>
        <rFont val="Arial"/>
        <family val="0"/>
        <charset val="1"/>
      </rPr>
      <t xml:space="preserve">Next.js </t>
    </r>
    <r>
      <rPr>
        <i val="true"/>
        <sz val="9"/>
        <color rgb="FF808080"/>
        <rFont val="DejaVu Sans"/>
        <family val="2"/>
      </rPr>
      <t xml:space="preserve">호스팅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DejaVu Sans"/>
        <family val="2"/>
      </rPr>
      <t xml:space="preserve">월 </t>
    </r>
    <r>
      <rPr>
        <i val="true"/>
        <sz val="9"/>
        <color rgb="FF808080"/>
        <rFont val="Arial"/>
        <family val="0"/>
        <charset val="1"/>
      </rPr>
      <t xml:space="preserve">$20/seat</t>
    </r>
  </si>
  <si>
    <t xml:space="preserve">Supabase Pro</t>
  </si>
  <si>
    <r>
      <rPr>
        <i val="true"/>
        <sz val="9"/>
        <color rgb="FF808080"/>
        <rFont val="Arial"/>
        <family val="0"/>
        <charset val="1"/>
      </rPr>
      <t xml:space="preserve">DB + Auth, </t>
    </r>
    <r>
      <rPr>
        <i val="true"/>
        <sz val="9"/>
        <color rgb="FF808080"/>
        <rFont val="DejaVu Sans"/>
        <family val="2"/>
      </rPr>
      <t xml:space="preserve">기본 </t>
    </r>
    <r>
      <rPr>
        <i val="true"/>
        <sz val="9"/>
        <color rgb="FF808080"/>
        <rFont val="Arial"/>
        <family val="0"/>
        <charset val="1"/>
      </rPr>
      <t xml:space="preserve">$25 (</t>
    </r>
    <r>
      <rPr>
        <i val="true"/>
        <sz val="9"/>
        <color rgb="FF808080"/>
        <rFont val="DejaVu Sans"/>
        <family val="2"/>
      </rPr>
      <t xml:space="preserve">사용량 추가 가능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</si>
  <si>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도메인 </t>
    </r>
    <r>
      <rPr>
        <sz val="10"/>
        <rFont val="Arial"/>
        <family val="0"/>
        <charset val="1"/>
      </rPr>
      <t xml:space="preserve">(potal.app)</t>
    </r>
  </si>
  <si>
    <r>
      <rPr>
        <i val="true"/>
        <sz val="9"/>
        <color rgb="FF808080"/>
        <rFont val="Arial"/>
        <family val="0"/>
        <charset val="1"/>
      </rPr>
      <t xml:space="preserve">.app </t>
    </r>
    <r>
      <rPr>
        <i val="true"/>
        <sz val="9"/>
        <color rgb="FF808080"/>
        <rFont val="DejaVu Sans"/>
        <family val="2"/>
      </rPr>
      <t xml:space="preserve">도메인 </t>
    </r>
    <r>
      <rPr>
        <i val="true"/>
        <sz val="9"/>
        <color rgb="FF808080"/>
        <rFont val="Arial"/>
        <family val="0"/>
        <charset val="1"/>
      </rPr>
      <t xml:space="preserve">~$18/year</t>
    </r>
  </si>
  <si>
    <t xml:space="preserve">인프라 소계</t>
  </si>
  <si>
    <r>
      <rPr>
        <b val="true"/>
        <sz val="10"/>
        <rFont val="Arial"/>
        <family val="0"/>
        <charset val="1"/>
      </rPr>
      <t xml:space="preserve">🤖 AI / API </t>
    </r>
    <r>
      <rPr>
        <b val="true"/>
        <sz val="10"/>
        <rFont val="DejaVu Sans"/>
        <family val="2"/>
      </rPr>
      <t xml:space="preserve">비용</t>
    </r>
  </si>
  <si>
    <r>
      <rPr>
        <sz val="10"/>
        <rFont val="Arial"/>
        <family val="0"/>
        <charset val="1"/>
      </rPr>
      <t xml:space="preserve">Groq API (HS </t>
    </r>
    <r>
      <rPr>
        <sz val="10"/>
        <rFont val="DejaVu Sans"/>
        <family val="2"/>
      </rPr>
      <t xml:space="preserve">분류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</si>
  <si>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Llama 70B, ~$0.75/1M tokens, </t>
    </r>
    <r>
      <rPr>
        <i val="true"/>
        <sz val="9"/>
        <color rgb="FF808080"/>
        <rFont val="DejaVu Sans"/>
        <family val="2"/>
      </rPr>
      <t xml:space="preserve">월 </t>
    </r>
    <r>
      <rPr>
        <i val="true"/>
        <sz val="9"/>
        <color rgb="FF808080"/>
        <rFont val="Arial"/>
        <family val="0"/>
        <charset val="1"/>
      </rPr>
      <t xml:space="preserve">~$5 </t>
    </r>
    <r>
      <rPr>
        <i val="true"/>
        <sz val="9"/>
        <color rgb="FF808080"/>
        <rFont val="DejaVu Sans"/>
        <family val="2"/>
      </rPr>
      <t xml:space="preserve">추정</t>
    </r>
  </si>
  <si>
    <r>
      <rPr>
        <sz val="10"/>
        <rFont val="DejaVu Sans"/>
        <family val="2"/>
      </rPr>
      <t xml:space="preserve">정부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 비용</t>
    </r>
  </si>
  <si>
    <r>
      <rPr>
        <i val="true"/>
        <sz val="9"/>
        <color rgb="FF808080"/>
        <rFont val="DejaVu Sans"/>
        <family val="2"/>
      </rPr>
      <t xml:space="preserve">대부분 무료 </t>
    </r>
    <r>
      <rPr>
        <i val="true"/>
        <sz val="9"/>
        <color rgb="FF808080"/>
        <rFont val="Arial"/>
        <family val="0"/>
        <charset val="1"/>
      </rPr>
      <t xml:space="preserve">(USITC, UK, EU </t>
    </r>
    <r>
      <rPr>
        <i val="true"/>
        <sz val="9"/>
        <color rgb="FF808080"/>
        <rFont val="DejaVu Sans"/>
        <family val="2"/>
      </rPr>
      <t xml:space="preserve">등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</si>
  <si>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AI/API </t>
    </r>
    <r>
      <rPr>
        <b val="true"/>
        <sz val="10"/>
        <rFont val="DejaVu Sans"/>
        <family val="2"/>
      </rPr>
      <t xml:space="preserve">소계</t>
    </r>
  </si>
  <si>
    <r>
      <rPr>
        <b val="true"/>
        <sz val="10"/>
        <rFont val="DejaVu Sans"/>
        <family val="2"/>
      </rPr>
      <t xml:space="preserve">💳 결제 </t>
    </r>
    <r>
      <rPr>
        <b val="true"/>
        <sz val="10"/>
        <rFont val="Arial"/>
        <family val="0"/>
        <charset val="1"/>
      </rPr>
      <t xml:space="preserve">(Paddle)</t>
    </r>
  </si>
  <si>
    <r>
      <rPr>
        <sz val="10"/>
        <rFont val="Arial"/>
        <family val="0"/>
        <charset val="1"/>
      </rPr>
      <t xml:space="preserve">Paddle </t>
    </r>
    <r>
      <rPr>
        <sz val="10"/>
        <rFont val="DejaVu Sans"/>
        <family val="2"/>
      </rPr>
      <t xml:space="preserve">월정액</t>
    </r>
  </si>
  <si>
    <r>
      <rPr>
        <i val="true"/>
        <sz val="9"/>
        <color rgb="FF808080"/>
        <rFont val="DejaVu Sans"/>
        <family val="2"/>
      </rPr>
      <t xml:space="preserve">월정액 없음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DejaVu Sans"/>
        <family val="2"/>
      </rPr>
      <t xml:space="preserve">거래당 </t>
    </r>
    <r>
      <rPr>
        <i val="true"/>
        <sz val="9"/>
        <color rgb="FF808080"/>
        <rFont val="Arial"/>
        <family val="0"/>
        <charset val="1"/>
      </rPr>
      <t xml:space="preserve">5%+$0.50</t>
    </r>
  </si>
  <si>
    <r>
      <rPr>
        <sz val="10"/>
        <rFont val="Arial"/>
        <family val="0"/>
        <charset val="1"/>
      </rPr>
      <t xml:space="preserve">Paddle </t>
    </r>
    <r>
      <rPr>
        <sz val="10"/>
        <rFont val="DejaVu Sans"/>
        <family val="2"/>
      </rPr>
      <t xml:space="preserve">거래수수료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</si>
  <si>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고객 수에 따라 변동 → </t>
    </r>
    <r>
      <rPr>
        <i val="true"/>
        <sz val="9"/>
        <color rgb="FF808080"/>
        <rFont val="Arial"/>
        <family val="0"/>
        <charset val="1"/>
      </rPr>
      <t xml:space="preserve">Sheet2</t>
    </r>
    <r>
      <rPr>
        <i val="true"/>
        <sz val="9"/>
        <color rgb="FF808080"/>
        <rFont val="DejaVu Sans"/>
        <family val="2"/>
      </rPr>
      <t xml:space="preserve">에서 시뮬레이션</t>
    </r>
  </si>
  <si>
    <t xml:space="preserve">결제 소계</t>
  </si>
  <si>
    <t xml:space="preserve">📦 기타</t>
  </si>
  <si>
    <r>
      <rPr>
        <sz val="10"/>
        <rFont val="DejaVu Sans"/>
        <family val="2"/>
      </rPr>
      <t xml:space="preserve">이메일 서비스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추후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</si>
  <si>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현재 미사용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DejaVu Sans"/>
        <family val="2"/>
      </rPr>
      <t xml:space="preserve">향후 </t>
    </r>
    <r>
      <rPr>
        <i val="true"/>
        <sz val="9"/>
        <color rgb="FF808080"/>
        <rFont val="Arial"/>
        <family val="0"/>
        <charset val="1"/>
      </rPr>
      <t xml:space="preserve">Resend/Postmark </t>
    </r>
    <r>
      <rPr>
        <i val="true"/>
        <sz val="9"/>
        <color rgb="FF808080"/>
        <rFont val="DejaVu Sans"/>
        <family val="2"/>
      </rPr>
      <t xml:space="preserve">등</t>
    </r>
  </si>
  <si>
    <r>
      <rPr>
        <sz val="10"/>
        <rFont val="DejaVu Sans"/>
        <family val="2"/>
      </rPr>
      <t xml:space="preserve">모니터링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추후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</si>
  <si>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현재 미사용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DejaVu Sans"/>
        <family val="2"/>
      </rPr>
      <t xml:space="preserve">향후 </t>
    </r>
    <r>
      <rPr>
        <i val="true"/>
        <sz val="9"/>
        <color rgb="FF808080"/>
        <rFont val="Arial"/>
        <family val="0"/>
        <charset val="1"/>
      </rPr>
      <t xml:space="preserve">Sentry </t>
    </r>
    <r>
      <rPr>
        <i val="true"/>
        <sz val="9"/>
        <color rgb="FF808080"/>
        <rFont val="DejaVu Sans"/>
        <family val="2"/>
      </rPr>
      <t xml:space="preserve">등</t>
    </r>
  </si>
  <si>
    <r>
      <rPr>
        <sz val="10"/>
        <rFont val="Arial"/>
        <family val="0"/>
        <charset val="1"/>
      </rPr>
      <t xml:space="preserve">AWS EC2 (</t>
    </r>
    <r>
      <rPr>
        <sz val="10"/>
        <rFont val="DejaVu Sans"/>
        <family val="2"/>
      </rPr>
      <t xml:space="preserve">중지 상태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</si>
  <si>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현재 중지됨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DejaVu Sans"/>
        <family val="2"/>
      </rPr>
      <t xml:space="preserve">필요시 </t>
    </r>
    <r>
      <rPr>
        <i val="true"/>
        <sz val="9"/>
        <color rgb="FF808080"/>
        <rFont val="Arial"/>
        <family val="0"/>
        <charset val="1"/>
      </rPr>
      <t xml:space="preserve">~$10/mo</t>
    </r>
  </si>
  <si>
    <t xml:space="preserve">기타 소계</t>
  </si>
  <si>
    <t xml:space="preserve">🔥 월 고정지출 합계</t>
  </si>
  <si>
    <r>
      <rPr>
        <i val="true"/>
        <sz val="9"/>
        <color rgb="FF808080"/>
        <rFont val="Arial"/>
        <family val="0"/>
        <charset val="1"/>
      </rPr>
      <t xml:space="preserve">Paddle </t>
    </r>
    <r>
      <rPr>
        <i val="true"/>
        <sz val="9"/>
        <color rgb="FF808080"/>
        <rFont val="DejaVu Sans"/>
        <family val="2"/>
      </rPr>
      <t xml:space="preserve">거래수수료 제외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DejaVu Sans"/>
        <family val="2"/>
      </rPr>
      <t xml:space="preserve">변동비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</si>
  <si>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POTAL </t>
    </r>
    <r>
      <rPr>
        <b val="true"/>
        <sz val="14"/>
        <rFont val="DejaVu Sans"/>
        <family val="2"/>
      </rPr>
      <t xml:space="preserve">수익 시뮬레이션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DejaVu Sans"/>
        <family val="2"/>
      </rPr>
      <t xml:space="preserve">월 기준</t>
    </r>
    <r>
      <rPr>
        <b val="true"/>
        <sz val="14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</si>
  <si>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📊 가정 </t>
    </r>
    <r>
      <rPr>
        <b val="true"/>
        <sz val="10"/>
        <rFont val="Arial"/>
        <family val="0"/>
        <charset val="1"/>
      </rPr>
      <t xml:space="preserve">(Assumptions)</t>
    </r>
  </si>
  <si>
    <r>
      <rPr>
        <sz val="10"/>
        <rFont val="Arial"/>
        <family val="0"/>
        <charset val="1"/>
      </rPr>
      <t xml:space="preserve">Paddle </t>
    </r>
    <r>
      <rPr>
        <sz val="10"/>
        <rFont val="DejaVu Sans"/>
        <family val="2"/>
      </rPr>
      <t xml:space="preserve">수수료율</t>
    </r>
  </si>
  <si>
    <t xml:space="preserve">5%</t>
  </si>
  <si>
    <r>
      <rPr>
        <sz val="10"/>
        <rFont val="Arial"/>
        <family val="0"/>
        <charset val="1"/>
      </rPr>
      <t xml:space="preserve">Paddle </t>
    </r>
    <r>
      <rPr>
        <sz val="10"/>
        <rFont val="DejaVu Sans"/>
        <family val="2"/>
      </rPr>
      <t xml:space="preserve">건당 수수료</t>
    </r>
  </si>
  <si>
    <r>
      <rPr>
        <i val="true"/>
        <sz val="9"/>
        <color rgb="FF808080"/>
        <rFont val="Arial"/>
        <family val="0"/>
        <charset val="1"/>
      </rPr>
      <t xml:space="preserve">$0.50/</t>
    </r>
    <r>
      <rPr>
        <i val="true"/>
        <sz val="9"/>
        <color rgb="FF808080"/>
        <rFont val="DejaVu Sans"/>
        <family val="2"/>
      </rPr>
      <t xml:space="preserve">거래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</si>
  <si>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건당 원가</t>
    </r>
  </si>
  <si>
    <r>
      <rPr>
        <i val="true"/>
        <sz val="9"/>
        <color rgb="FF808080"/>
        <rFont val="DejaVu Sans"/>
        <family val="2"/>
      </rPr>
      <t xml:space="preserve">캐시 시 </t>
    </r>
    <r>
      <rPr>
        <i val="true"/>
        <sz val="9"/>
        <color rgb="FF808080"/>
        <rFont val="Arial"/>
        <family val="0"/>
        <charset val="1"/>
      </rPr>
      <t xml:space="preserve">$0.0003</t>
    </r>
  </si>
  <si>
    <t xml:space="preserve">월 고정비</t>
  </si>
  <si>
    <t xml:space="preserve">연간 할인율</t>
  </si>
  <si>
    <t xml:space="preserve">20%</t>
  </si>
  <si>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초과 건당</t>
    </r>
  </si>
  <si>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초과 건당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</si>
  <si>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초과 건당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</si>
  <si>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볼륨커밋 건당</t>
    </r>
  </si>
  <si>
    <r>
      <rPr>
        <i val="true"/>
        <sz val="9"/>
        <color rgb="FF808080"/>
        <rFont val="Arial"/>
        <family val="0"/>
        <charset val="1"/>
      </rPr>
      <t xml:space="preserve">100K+ </t>
    </r>
    <r>
      <rPr>
        <i val="true"/>
        <sz val="9"/>
        <color rgb="FF808080"/>
        <rFont val="DejaVu Sans"/>
        <family val="2"/>
      </rPr>
      <t xml:space="preserve">계약</t>
    </r>
  </si>
  <si>
    <t xml:space="preserve">📈 시나리오별 월 수익 분석</t>
  </si>
  <si>
    <r>
      <rPr>
        <b val="true"/>
        <sz val="11"/>
        <color rgb="FFFFFFFF"/>
        <rFont val="DejaVu Sans"/>
        <family val="2"/>
      </rPr>
      <t xml:space="preserve">초기 </t>
    </r>
    <r>
      <rPr>
        <b val="true"/>
        <sz val="11"/>
        <color rgb="FFFFFFFF"/>
        <rFont val="Arial"/>
        <family val="0"/>
        <charset val="1"/>
      </rPr>
      <t xml:space="preserve">(3</t>
    </r>
    <r>
      <rPr>
        <b val="true"/>
        <sz val="11"/>
        <color rgb="FFFFFFFF"/>
        <rFont val="DejaVu Sans"/>
        <family val="2"/>
      </rPr>
      <t xml:space="preserve">개월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</si>
  <si>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성장 </t>
    </r>
    <r>
      <rPr>
        <b val="true"/>
        <sz val="11"/>
        <color rgb="FFFFFFFF"/>
        <rFont val="Arial"/>
        <family val="0"/>
        <charset val="1"/>
      </rPr>
      <t xml:space="preserve">(6</t>
    </r>
    <r>
      <rPr>
        <b val="true"/>
        <sz val="11"/>
        <color rgb="FFFFFFFF"/>
        <rFont val="DejaVu Sans"/>
        <family val="2"/>
      </rPr>
      <t xml:space="preserve">개월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</si>
  <si>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안정 </t>
    </r>
    <r>
      <rPr>
        <b val="true"/>
        <sz val="11"/>
        <color rgb="FFFFFFFF"/>
        <rFont val="Arial"/>
        <family val="0"/>
        <charset val="1"/>
      </rPr>
      <t xml:space="preserve">(12</t>
    </r>
    <r>
      <rPr>
        <b val="true"/>
        <sz val="11"/>
        <color rgb="FFFFFFFF"/>
        <rFont val="DejaVu Sans"/>
        <family val="2"/>
      </rPr>
      <t xml:space="preserve">개월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</si>
  <si>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유료 고객 수</t>
  </si>
  <si>
    <r>
      <rPr>
        <sz val="10"/>
        <rFont val="Arial"/>
        <family val="0"/>
        <charset val="1"/>
      </rPr>
      <t xml:space="preserve">Free </t>
    </r>
    <r>
      <rPr>
        <sz val="10"/>
        <rFont val="DejaVu Sans"/>
        <family val="2"/>
      </rPr>
      <t xml:space="preserve">고객</t>
    </r>
  </si>
  <si>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월납 고객</t>
    </r>
  </si>
  <si>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연납 고객</t>
    </r>
  </si>
  <si>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월납 고객</t>
    </r>
  </si>
  <si>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연납 고객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</si>
  <si>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월납 고객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</si>
  <si>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연납 고객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</si>
  <si>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볼륨커밋 고객</t>
    </r>
  </si>
  <si>
    <r>
      <rPr>
        <b val="true"/>
        <sz val="10"/>
        <rFont val="DejaVu Sans"/>
        <family val="2"/>
      </rPr>
      <t xml:space="preserve">💰 월 매출 </t>
    </r>
    <r>
      <rPr>
        <b val="true"/>
        <sz val="10"/>
        <rFont val="Arial"/>
        <family val="0"/>
        <charset val="1"/>
      </rPr>
      <t xml:space="preserve">(Gross Revenue)</t>
    </r>
  </si>
  <si>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월납</t>
    </r>
  </si>
  <si>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연납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월환산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</si>
  <si>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월납</t>
    </r>
  </si>
  <si>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연납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월환산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</si>
  <si>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월납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</si>
  <si>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연납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월환산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</si>
  <si>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볼륨커밋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월환산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</si>
  <si>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총 매출 </t>
    </r>
    <r>
      <rPr>
        <b val="true"/>
        <sz val="10"/>
        <rFont val="Arial"/>
        <family val="0"/>
        <charset val="1"/>
      </rPr>
      <t xml:space="preserve">(Gross)</t>
    </r>
  </si>
  <si>
    <r>
      <rPr>
        <b val="true"/>
        <sz val="10"/>
        <rFont val="DejaVu Sans"/>
        <family val="2"/>
      </rPr>
      <t xml:space="preserve">💸 월 비용 </t>
    </r>
    <r>
      <rPr>
        <b val="true"/>
        <sz val="10"/>
        <rFont val="Arial"/>
        <family val="0"/>
        <charset val="1"/>
      </rPr>
      <t xml:space="preserve">(Costs)</t>
    </r>
  </si>
  <si>
    <t xml:space="preserve">고정비</t>
  </si>
  <si>
    <r>
      <rPr>
        <sz val="10"/>
        <rFont val="Arial"/>
        <family val="0"/>
        <charset val="1"/>
      </rPr>
      <t xml:space="preserve">Paddle </t>
    </r>
    <r>
      <rPr>
        <sz val="10"/>
        <rFont val="DejaVu Sans"/>
        <family val="2"/>
      </rPr>
      <t xml:space="preserve">수수료 </t>
    </r>
    <r>
      <rPr>
        <sz val="10"/>
        <rFont val="Arial"/>
        <family val="0"/>
        <charset val="1"/>
      </rPr>
      <t xml:space="preserve">(5%+$0.50×</t>
    </r>
    <r>
      <rPr>
        <sz val="10"/>
        <rFont val="DejaVu Sans"/>
        <family val="2"/>
      </rPr>
      <t xml:space="preserve">고객수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</si>
  <si>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처리 원가</t>
    </r>
  </si>
  <si>
    <t xml:space="preserve">총 비용</t>
  </si>
  <si>
    <r>
      <rPr>
        <b val="true"/>
        <sz val="10"/>
        <rFont val="DejaVu Sans"/>
        <family val="2"/>
      </rPr>
      <t xml:space="preserve">📊 순이익 </t>
    </r>
    <r>
      <rPr>
        <b val="true"/>
        <sz val="10"/>
        <rFont val="Arial"/>
        <family val="0"/>
        <charset val="1"/>
      </rPr>
      <t xml:space="preserve">(Net Profit)</t>
    </r>
  </si>
  <si>
    <t xml:space="preserve">월 순이익</t>
  </si>
  <si>
    <t xml:space="preserve">순이익률</t>
  </si>
  <si>
    <r>
      <rPr>
        <b val="true"/>
        <sz val="10"/>
        <rFont val="DejaVu Sans"/>
        <family val="2"/>
      </rPr>
      <t xml:space="preserve">연 순이익 </t>
    </r>
    <r>
      <rPr>
        <b val="true"/>
        <sz val="10"/>
        <rFont val="Arial"/>
        <family val="0"/>
        <charset val="1"/>
      </rPr>
      <t xml:space="preserve">(×12)</t>
    </r>
  </si>
  <si>
    <r>
      <rPr>
        <b val="true"/>
        <sz val="12"/>
        <rFont val="DejaVu Sans"/>
        <family val="2"/>
      </rPr>
      <t xml:space="preserve">손익분기 </t>
    </r>
    <r>
      <rPr>
        <b val="true"/>
        <sz val="12"/>
        <rFont val="Arial"/>
        <family val="0"/>
        <charset val="1"/>
      </rPr>
      <t xml:space="preserve">(BEP)</t>
    </r>
  </si>
  <si>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월납 고객 수 기준 </t>
    </r>
    <r>
      <rPr>
        <sz val="10"/>
        <rFont val="Arial"/>
        <family val="0"/>
        <charset val="1"/>
      </rPr>
      <t xml:space="preserve">BEP</t>
    </r>
  </si>
  <si>
    <r>
      <rPr>
        <i val="true"/>
        <sz val="9"/>
        <color rgb="FF808080"/>
        <rFont val="Arial"/>
        <family val="0"/>
        <charset val="1"/>
      </rPr>
      <t xml:space="preserve">Basic 1</t>
    </r>
    <r>
      <rPr>
        <i val="true"/>
        <sz val="9"/>
        <color rgb="FF808080"/>
        <rFont val="DejaVu Sans"/>
        <family val="2"/>
      </rPr>
      <t xml:space="preserve">명당 순수익 </t>
    </r>
    <r>
      <rPr>
        <i val="true"/>
        <sz val="9"/>
        <color rgb="FF808080"/>
        <rFont val="Arial"/>
        <family val="0"/>
        <charset val="1"/>
      </rPr>
      <t xml:space="preserve">= $20 - $1 - $0.50 - $2 = $16.50</t>
    </r>
  </si>
  <si>
    <r>
      <rPr>
        <b val="true"/>
        <sz val="14"/>
        <rFont val="Arial"/>
        <family val="0"/>
        <charset val="1"/>
      </rPr>
      <t xml:space="preserve">POTAL </t>
    </r>
    <r>
      <rPr>
        <b val="true"/>
        <sz val="14"/>
        <rFont val="DejaVu Sans"/>
        <family val="2"/>
      </rPr>
      <t xml:space="preserve">확정 요금표</t>
    </r>
  </si>
  <si>
    <t xml:space="preserve">플랜</t>
  </si>
  <si>
    <t xml:space="preserve">월납</t>
  </si>
  <si>
    <r>
      <rPr>
        <b val="true"/>
        <sz val="11"/>
        <color rgb="FFFFFFFF"/>
        <rFont val="DejaVu Sans"/>
        <family val="2"/>
      </rPr>
      <t xml:space="preserve">연납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월환산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</si>
  <si>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연납 일시불</t>
  </si>
  <si>
    <r>
      <rPr>
        <b val="true"/>
        <sz val="11"/>
        <color rgb="FFFFFFFF"/>
        <rFont val="DejaVu Sans"/>
        <family val="2"/>
      </rPr>
      <t xml:space="preserve">건수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월</t>
    </r>
  </si>
  <si>
    <t xml:space="preserve">초과 건당</t>
  </si>
  <si>
    <t xml:space="preserve">Free</t>
  </si>
  <si>
    <t xml:space="preserve">-</t>
  </si>
  <si>
    <r>
      <rPr>
        <i val="true"/>
        <sz val="9"/>
        <color rgb="FF808080"/>
        <rFont val="DejaVu Sans"/>
        <family val="2"/>
      </rPr>
      <t xml:space="preserve">하드 스톱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DejaVu Sans"/>
        <family val="2"/>
      </rPr>
      <t xml:space="preserve">초과 불가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</si>
  <si>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Basic</t>
  </si>
  <si>
    <t xml:space="preserve">초과분 자동 과금</t>
  </si>
  <si>
    <t xml:space="preserve">Pro</t>
  </si>
  <si>
    <t xml:space="preserve">Enterprise</t>
  </si>
  <si>
    <r>
      <rPr>
        <i val="true"/>
        <sz val="9"/>
        <color rgb="FF808080"/>
        <rFont val="Arial"/>
        <family val="0"/>
        <charset val="1"/>
      </rPr>
      <t xml:space="preserve">100K+ </t>
    </r>
    <r>
      <rPr>
        <i val="true"/>
        <sz val="9"/>
        <color rgb="FF808080"/>
        <rFont val="DejaVu Sans"/>
        <family val="2"/>
      </rPr>
      <t xml:space="preserve">볼륨커밋 시 </t>
    </r>
    <r>
      <rPr>
        <i val="true"/>
        <sz val="9"/>
        <color rgb="FF808080"/>
        <rFont val="Arial"/>
        <family val="0"/>
        <charset val="1"/>
      </rPr>
      <t xml:space="preserve">$0.008</t>
    </r>
  </si>
  <si>
    <r>
      <rPr>
        <b val="true"/>
        <sz val="11"/>
        <rFont val="Arial"/>
        <family val="0"/>
        <charset val="1"/>
      </rPr>
      <t xml:space="preserve">Paddle </t>
    </r>
    <r>
      <rPr>
        <b val="true"/>
        <sz val="11"/>
        <rFont val="DejaVu Sans"/>
        <family val="2"/>
      </rPr>
      <t xml:space="preserve">수수료 영향</t>
    </r>
  </si>
  <si>
    <t xml:space="preserve">매출</t>
  </si>
  <si>
    <r>
      <rPr>
        <b val="true"/>
        <sz val="11"/>
        <color rgb="FFFFFFFF"/>
        <rFont val="Arial"/>
        <family val="0"/>
        <charset val="1"/>
      </rPr>
      <t xml:space="preserve">Paddle </t>
    </r>
    <r>
      <rPr>
        <b val="true"/>
        <sz val="11"/>
        <color rgb="FFFFFFFF"/>
        <rFont val="DejaVu Sans"/>
        <family val="2"/>
      </rPr>
      <t xml:space="preserve">수수료</t>
    </r>
  </si>
  <si>
    <r>
      <rPr>
        <b val="true"/>
        <sz val="11"/>
        <color rgb="FFFFFFFF"/>
        <rFont val="Arial"/>
        <family val="0"/>
        <charset val="1"/>
      </rPr>
      <t xml:space="preserve">POTAL </t>
    </r>
    <r>
      <rPr>
        <b val="true"/>
        <sz val="11"/>
        <color rgb="FFFFFFFF"/>
        <rFont val="DejaVu Sans"/>
        <family val="2"/>
      </rPr>
      <t xml:space="preserve">수령</t>
    </r>
  </si>
  <si>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원가</t>
    </r>
  </si>
  <si>
    <t xml:space="preserve">순이익</t>
  </si>
  <si>
    <r>
      <rPr>
        <sz val="10"/>
        <rFont val="Arial"/>
        <family val="0"/>
        <charset val="1"/>
      </rPr>
      <t xml:space="preserve">Basic </t>
    </r>
    <r>
      <rPr>
        <sz val="10"/>
        <rFont val="DejaVu Sans"/>
        <family val="2"/>
      </rPr>
      <t xml:space="preserve">연납</t>
    </r>
  </si>
  <si>
    <r>
      <rPr>
        <sz val="10"/>
        <rFont val="Arial"/>
        <family val="0"/>
        <charset val="1"/>
      </rPr>
      <t xml:space="preserve">Pro </t>
    </r>
    <r>
      <rPr>
        <sz val="10"/>
        <rFont val="DejaVu Sans"/>
        <family val="2"/>
      </rPr>
      <t xml:space="preserve">연납</t>
    </r>
  </si>
  <si>
    <r>
      <rPr>
        <sz val="10"/>
        <rFont val="Arial"/>
        <family val="0"/>
        <charset val="1"/>
      </rPr>
      <t xml:space="preserve">Enterprise </t>
    </r>
    <r>
      <rPr>
        <sz val="10"/>
        <rFont val="DejaVu Sans"/>
        <family val="2"/>
      </rPr>
      <t xml:space="preserve">연납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</si>
</sst>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"/>
    <numFmt numFmtId="167" formatCode="\$#,##0.000"/>
    <numFmt numFmtId="168" formatCode="#,##0"/>
    <numFmt numFmtId="169" formatCode="\$#,##0"/>
    <numFmt numFmtId="170" formatCode="\$#,##0;&quot;($&quot;#,##0\);\-"/>
    <numFmt numFmtId="171" formatCode="#,##0&quot; 명&quot;"/>
    <numFmt numFmtId="172" formatCode="\$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808080"/>
      <name val="DejaVu Sans"/>
      <family val="2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sz val="10"/>
      <color rgb="FF008000"/>
      <name val="Arial"/>
      <family val="0"/>
      <charset val="1"/>
    </font>
    <font>
      <b val="true"/>
      <sz val="12"/>
      <name val="DejaVu Sans"/>
      <family val="2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C000"/>
        <bgColor rgb="FFFF9900"/>
      </patternFill>
    </fill>
    <fill>
      <patternFill patternType="solid">
        <fgColor rgb="FFFCE4D6"/>
        <bgColor rgb="FFE2EFDA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65" hidden="false" customHeight="false" outlineLevel="0" collapsed="false">
      <c r="A2" s="2" t="s">
        <v>4</v>
      </c>
      <c r="B2" s="2"/>
      <c r="C2" s="2"/>
      <c r="D2" s="2"/>
    </row>
    <row r="3" customFormat="false" ht="15" hidden="false" customHeight="false" outlineLevel="0" collapsed="false">
      <c r="A3" s="3" t="s">
        <v>5</v>
      </c>
      <c r="B3" s="4" t="n">
        <v>20</v>
      </c>
      <c r="C3" s="5" t="n">
        <f aca="false">B3*12</f>
        <v>240</v>
      </c>
      <c r="D3" s="6" t="s">
        <v>6</v>
      </c>
    </row>
    <row r="4" customFormat="false" ht="15" hidden="false" customHeight="false" outlineLevel="0" collapsed="false">
      <c r="A4" s="3" t="s">
        <v>7</v>
      </c>
      <c r="B4" s="4" t="n">
        <v>25</v>
      </c>
      <c r="C4" s="5" t="n">
        <f aca="false">B4*12</f>
        <v>300</v>
      </c>
      <c r="D4" s="6" t="s">
        <v>8</v>
      </c>
    </row>
    <row r="5" customFormat="false" ht="15" hidden="false" customHeight="false" outlineLevel="0" collapsed="false">
      <c r="A5" s="7" t="s">
        <v>9</v>
      </c>
      <c r="B5" s="4" t="n">
        <v>1.5</v>
      </c>
      <c r="C5" s="5" t="n">
        <f aca="false">B5*12</f>
        <v>18</v>
      </c>
      <c r="D5" s="6" t="s">
        <v>10</v>
      </c>
    </row>
    <row r="6" customFormat="false" ht="15" hidden="false" customHeight="false" outlineLevel="0" collapsed="false">
      <c r="A6" s="8" t="s">
        <v>11</v>
      </c>
      <c r="B6" s="9" t="n">
        <f aca="false">SUM(B3:B5)</f>
        <v>46.5</v>
      </c>
      <c r="C6" s="9" t="n">
        <f aca="false">SUM(C3:C5)</f>
        <v>558</v>
      </c>
      <c r="D6" s="10"/>
    </row>
    <row r="7" customFormat="false" ht="15" hidden="false" customHeight="false" outlineLevel="0" collapsed="false">
      <c r="B7" s="11"/>
      <c r="C7" s="11"/>
    </row>
    <row r="8" customFormat="false" ht="12.65" hidden="false" customHeight="false" outlineLevel="0" collapsed="false">
      <c r="A8" s="12" t="s">
        <v>12</v>
      </c>
      <c r="B8" s="12"/>
      <c r="C8" s="12"/>
      <c r="D8" s="12"/>
    </row>
    <row r="9" customFormat="false" ht="15" hidden="false" customHeight="false" outlineLevel="0" collapsed="false">
      <c r="A9" s="3" t="s">
        <v>13</v>
      </c>
      <c r="B9" s="4" t="n">
        <v>5</v>
      </c>
      <c r="C9" s="5" t="n">
        <f aca="false">B9*12</f>
        <v>60</v>
      </c>
      <c r="D9" s="6" t="s">
        <v>14</v>
      </c>
    </row>
    <row r="10" customFormat="false" ht="15" hidden="false" customHeight="false" outlineLevel="0" collapsed="false">
      <c r="A10" s="7" t="s">
        <v>15</v>
      </c>
      <c r="B10" s="4" t="n">
        <v>0</v>
      </c>
      <c r="C10" s="5" t="n">
        <f aca="false">B10*12</f>
        <v>0</v>
      </c>
      <c r="D10" s="13" t="s">
        <v>16</v>
      </c>
    </row>
    <row r="11" customFormat="false" ht="15" hidden="false" customHeight="false" outlineLevel="0" collapsed="false">
      <c r="A11" s="14" t="s">
        <v>17</v>
      </c>
      <c r="B11" s="9" t="n">
        <f aca="false">SUM(B9:B10)</f>
        <v>5</v>
      </c>
      <c r="C11" s="9" t="n">
        <f aca="false">SUM(C9:C10)</f>
        <v>60</v>
      </c>
      <c r="D11" s="10"/>
    </row>
    <row r="12" customFormat="false" ht="15" hidden="false" customHeight="false" outlineLevel="0" collapsed="false">
      <c r="B12" s="11"/>
      <c r="C12" s="11"/>
    </row>
    <row r="13" customFormat="false" ht="12.65" hidden="false" customHeight="false" outlineLevel="0" collapsed="false">
      <c r="A13" s="2" t="s">
        <v>18</v>
      </c>
      <c r="B13" s="2"/>
      <c r="C13" s="2"/>
      <c r="D13" s="2"/>
    </row>
    <row r="14" customFormat="false" ht="15" hidden="false" customHeight="false" outlineLevel="0" collapsed="false">
      <c r="A14" s="3" t="s">
        <v>19</v>
      </c>
      <c r="B14" s="4" t="n">
        <v>0</v>
      </c>
      <c r="C14" s="5" t="n">
        <f aca="false">B14*12</f>
        <v>0</v>
      </c>
      <c r="D14" s="13" t="s">
        <v>20</v>
      </c>
    </row>
    <row r="15" customFormat="false" ht="15" hidden="false" customHeight="false" outlineLevel="0" collapsed="false">
      <c r="A15" s="3" t="s">
        <v>21</v>
      </c>
      <c r="B15" s="4" t="n">
        <v>0</v>
      </c>
      <c r="C15" s="5" t="n">
        <f aca="false">B15*12</f>
        <v>0</v>
      </c>
      <c r="D15" s="13" t="s">
        <v>22</v>
      </c>
    </row>
    <row r="16" customFormat="false" ht="15" hidden="false" customHeight="false" outlineLevel="0" collapsed="false">
      <c r="A16" s="8" t="s">
        <v>23</v>
      </c>
      <c r="B16" s="9" t="n">
        <f aca="false">SUM(B14:B15)</f>
        <v>0</v>
      </c>
      <c r="C16" s="9" t="n">
        <f aca="false">SUM(C14:C15)</f>
        <v>0</v>
      </c>
      <c r="D16" s="10"/>
    </row>
    <row r="17" customFormat="false" ht="15" hidden="false" customHeight="false" outlineLevel="0" collapsed="false">
      <c r="B17" s="11"/>
      <c r="C17" s="11"/>
    </row>
    <row r="18" customFormat="false" ht="15" hidden="false" customHeight="false" outlineLevel="0" collapsed="false">
      <c r="A18" s="2" t="s">
        <v>24</v>
      </c>
      <c r="B18" s="2"/>
      <c r="C18" s="2"/>
      <c r="D18" s="2"/>
    </row>
    <row r="19" customFormat="false" ht="15" hidden="false" customHeight="false" outlineLevel="0" collapsed="false">
      <c r="A19" s="7" t="s">
        <v>25</v>
      </c>
      <c r="B19" s="4" t="n">
        <v>0</v>
      </c>
      <c r="C19" s="5" t="n">
        <f aca="false">B19*12</f>
        <v>0</v>
      </c>
      <c r="D19" s="13" t="s">
        <v>26</v>
      </c>
    </row>
    <row r="20" customFormat="false" ht="15" hidden="false" customHeight="false" outlineLevel="0" collapsed="false">
      <c r="A20" s="7" t="s">
        <v>27</v>
      </c>
      <c r="B20" s="4" t="n">
        <v>0</v>
      </c>
      <c r="C20" s="5" t="n">
        <f aca="false">B20*12</f>
        <v>0</v>
      </c>
      <c r="D20" s="13" t="s">
        <v>28</v>
      </c>
    </row>
    <row r="21" customFormat="false" ht="15" hidden="false" customHeight="false" outlineLevel="0" collapsed="false">
      <c r="A21" s="3" t="s">
        <v>29</v>
      </c>
      <c r="B21" s="4" t="n">
        <v>0</v>
      </c>
      <c r="C21" s="5" t="n">
        <f aca="false">B21*12</f>
        <v>0</v>
      </c>
      <c r="D21" s="13" t="s">
        <v>30</v>
      </c>
    </row>
    <row r="22" customFormat="false" ht="15" hidden="false" customHeight="false" outlineLevel="0" collapsed="false">
      <c r="A22" s="8" t="s">
        <v>31</v>
      </c>
      <c r="B22" s="9" t="n">
        <f aca="false">SUM(B19:B21)</f>
        <v>0</v>
      </c>
      <c r="C22" s="9" t="n">
        <f aca="false">SUM(C19:C21)</f>
        <v>0</v>
      </c>
      <c r="D22" s="10"/>
    </row>
    <row r="23" customFormat="false" ht="15" hidden="false" customHeight="false" outlineLevel="0" collapsed="false">
      <c r="B23" s="11"/>
      <c r="C23" s="11"/>
    </row>
    <row r="24" customFormat="false" ht="15" hidden="false" customHeight="false" outlineLevel="0" collapsed="false">
      <c r="A24" s="15" t="s">
        <v>32</v>
      </c>
      <c r="B24" s="16" t="n">
        <f aca="false">B6+B11+B16+B22</f>
        <v>51.5</v>
      </c>
      <c r="C24" s="16" t="n">
        <f aca="false">C6+C11+C16+C22</f>
        <v>618</v>
      </c>
      <c r="D24" s="17" t="s">
        <v>33</v>
      </c>
    </row>
    <row r="25" customFormat="false" ht="15" hidden="false" customHeight="false" outlineLevel="0" collapsed="false">
      <c r="B25" s="11"/>
      <c r="C25" s="11"/>
    </row>
  </sheetData>
  <mergeCells count="4">
    <mergeCell ref="A2:D2"/>
    <mergeCell ref="A8:D8"/>
    <mergeCell ref="A13:D13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</cols>
  <sheetData>
    <row r="1" customFormat="false" ht="17.9" hidden="false" customHeight="false" outlineLevel="0" collapsed="false">
      <c r="A1" s="18" t="s">
        <v>34</v>
      </c>
      <c r="B1" s="18"/>
      <c r="C1" s="18"/>
      <c r="D1" s="18"/>
      <c r="E1" s="18"/>
    </row>
    <row r="3" customFormat="false" ht="12.65" hidden="false" customHeight="false" outlineLevel="0" collapsed="false">
      <c r="A3" s="2" t="s">
        <v>35</v>
      </c>
      <c r="B3" s="2"/>
      <c r="C3" s="2"/>
      <c r="D3" s="2"/>
      <c r="E3" s="2"/>
    </row>
    <row r="4" customFormat="false" ht="15" hidden="false" customHeight="false" outlineLevel="0" collapsed="false">
      <c r="A4" s="3" t="s">
        <v>36</v>
      </c>
      <c r="B4" s="19" t="n">
        <v>0.05</v>
      </c>
      <c r="C4" s="6" t="s">
        <v>37</v>
      </c>
    </row>
    <row r="5" customFormat="false" ht="15" hidden="false" customHeight="false" outlineLevel="0" collapsed="false">
      <c r="A5" s="3" t="s">
        <v>38</v>
      </c>
      <c r="B5" s="19" t="n">
        <v>0.5</v>
      </c>
      <c r="C5" s="6" t="s">
        <v>39</v>
      </c>
    </row>
    <row r="6" customFormat="false" ht="15" hidden="false" customHeight="false" outlineLevel="0" collapsed="false">
      <c r="A6" s="3" t="s">
        <v>40</v>
      </c>
      <c r="B6" s="20" t="n">
        <v>0.001</v>
      </c>
      <c r="C6" s="13" t="s">
        <v>41</v>
      </c>
    </row>
    <row r="7" customFormat="false" ht="15" hidden="false" customHeight="false" outlineLevel="0" collapsed="false">
      <c r="A7" s="7" t="s">
        <v>42</v>
      </c>
      <c r="B7" s="21" t="n">
        <f aca="false">고정지출!B24</f>
        <v>51.5</v>
      </c>
      <c r="C7" s="6"/>
    </row>
    <row r="8" customFormat="false" ht="15" hidden="false" customHeight="false" outlineLevel="0" collapsed="false">
      <c r="A8" s="7" t="s">
        <v>43</v>
      </c>
      <c r="B8" s="19" t="n">
        <v>0.2</v>
      </c>
      <c r="C8" s="6" t="s">
        <v>44</v>
      </c>
    </row>
    <row r="9" customFormat="false" ht="15" hidden="false" customHeight="false" outlineLevel="0" collapsed="false">
      <c r="A9" s="3" t="s">
        <v>45</v>
      </c>
      <c r="B9" s="20" t="n">
        <v>0.015</v>
      </c>
      <c r="C9" s="6"/>
    </row>
    <row r="10" customFormat="false" ht="15" hidden="false" customHeight="false" outlineLevel="0" collapsed="false">
      <c r="A10" s="3" t="s">
        <v>46</v>
      </c>
      <c r="B10" s="20" t="n">
        <v>0.012</v>
      </c>
      <c r="C10" s="6"/>
    </row>
    <row r="11" customFormat="false" ht="15" hidden="false" customHeight="false" outlineLevel="0" collapsed="false">
      <c r="A11" s="3" t="s">
        <v>47</v>
      </c>
      <c r="B11" s="20" t="n">
        <v>0.01</v>
      </c>
      <c r="C11" s="6"/>
    </row>
    <row r="12" customFormat="false" ht="15" hidden="false" customHeight="false" outlineLevel="0" collapsed="false">
      <c r="A12" s="3" t="s">
        <v>48</v>
      </c>
      <c r="B12" s="20" t="n">
        <v>0.008</v>
      </c>
      <c r="C12" s="6" t="s">
        <v>49</v>
      </c>
    </row>
    <row r="14" customFormat="false" ht="15" hidden="false" customHeight="false" outlineLevel="0" collapsed="false">
      <c r="A14" s="22" t="s">
        <v>50</v>
      </c>
      <c r="B14" s="22"/>
      <c r="C14" s="22"/>
      <c r="D14" s="22"/>
      <c r="E14" s="22"/>
    </row>
    <row r="15" customFormat="false" ht="15" hidden="false" customHeight="false" outlineLevel="0" collapsed="false">
      <c r="A15" s="1" t="s">
        <v>0</v>
      </c>
      <c r="B15" s="1" t="s">
        <v>51</v>
      </c>
      <c r="C15" s="1" t="s">
        <v>52</v>
      </c>
      <c r="D15" s="1" t="s">
        <v>53</v>
      </c>
    </row>
    <row r="16" customFormat="false" ht="15" hidden="false" customHeight="false" outlineLevel="0" collapsed="false">
      <c r="A16" s="2" t="s">
        <v>54</v>
      </c>
      <c r="B16" s="2"/>
      <c r="C16" s="2"/>
      <c r="D16" s="2"/>
    </row>
    <row r="17" customFormat="false" ht="15" hidden="false" customHeight="false" outlineLevel="0" collapsed="false">
      <c r="A17" s="3" t="s">
        <v>55</v>
      </c>
      <c r="B17" s="23" t="n">
        <v>50</v>
      </c>
      <c r="C17" s="23" t="n">
        <v>200</v>
      </c>
      <c r="D17" s="23" t="n">
        <v>500</v>
      </c>
    </row>
    <row r="18" customFormat="false" ht="15" hidden="false" customHeight="false" outlineLevel="0" collapsed="false">
      <c r="A18" s="3" t="s">
        <v>56</v>
      </c>
      <c r="B18" s="23" t="n">
        <v>3</v>
      </c>
      <c r="C18" s="23" t="n">
        <v>10</v>
      </c>
      <c r="D18" s="23" t="n">
        <v>25</v>
      </c>
    </row>
    <row r="19" customFormat="false" ht="15" hidden="false" customHeight="false" outlineLevel="0" collapsed="false">
      <c r="A19" s="3" t="s">
        <v>57</v>
      </c>
      <c r="B19" s="23" t="n">
        <v>1</v>
      </c>
      <c r="C19" s="23" t="n">
        <v>5</v>
      </c>
      <c r="D19" s="23" t="n">
        <v>15</v>
      </c>
    </row>
    <row r="20" customFormat="false" ht="15" hidden="false" customHeight="false" outlineLevel="0" collapsed="false">
      <c r="A20" s="3" t="s">
        <v>58</v>
      </c>
      <c r="B20" s="23" t="n">
        <v>1</v>
      </c>
      <c r="C20" s="23" t="n">
        <v>3</v>
      </c>
      <c r="D20" s="23" t="n">
        <v>8</v>
      </c>
    </row>
    <row r="21" customFormat="false" ht="15" hidden="false" customHeight="false" outlineLevel="0" collapsed="false">
      <c r="A21" s="3" t="s">
        <v>59</v>
      </c>
      <c r="B21" s="23" t="n">
        <v>0</v>
      </c>
      <c r="C21" s="23" t="n">
        <v>2</v>
      </c>
      <c r="D21" s="23" t="n">
        <v>5</v>
      </c>
    </row>
    <row r="22" customFormat="false" ht="15" hidden="false" customHeight="false" outlineLevel="0" collapsed="false">
      <c r="A22" s="3" t="s">
        <v>60</v>
      </c>
      <c r="B22" s="23" t="n">
        <v>0</v>
      </c>
      <c r="C22" s="23" t="n">
        <v>1</v>
      </c>
      <c r="D22" s="23" t="n">
        <v>2</v>
      </c>
    </row>
    <row r="23" customFormat="false" ht="15" hidden="false" customHeight="false" outlineLevel="0" collapsed="false">
      <c r="A23" s="3" t="s">
        <v>61</v>
      </c>
      <c r="B23" s="23" t="n">
        <v>0</v>
      </c>
      <c r="C23" s="23" t="n">
        <v>0</v>
      </c>
      <c r="D23" s="23" t="n">
        <v>2</v>
      </c>
    </row>
    <row r="24" customFormat="false" ht="15" hidden="false" customHeight="false" outlineLevel="0" collapsed="false">
      <c r="A24" s="3" t="s">
        <v>62</v>
      </c>
      <c r="B24" s="23" t="n">
        <v>0</v>
      </c>
      <c r="C24" s="23" t="n">
        <v>0</v>
      </c>
      <c r="D24" s="23" t="n">
        <v>1</v>
      </c>
    </row>
    <row r="26" customFormat="false" ht="15" hidden="false" customHeight="false" outlineLevel="0" collapsed="false">
      <c r="A26" s="2" t="s">
        <v>63</v>
      </c>
      <c r="B26" s="2"/>
      <c r="C26" s="2"/>
      <c r="D26" s="2"/>
    </row>
    <row r="27" customFormat="false" ht="15" hidden="false" customHeight="false" outlineLevel="0" collapsed="false">
      <c r="A27" s="3" t="s">
        <v>64</v>
      </c>
      <c r="B27" s="24" t="n">
        <f aca="false">B18*20</f>
        <v>60</v>
      </c>
      <c r="C27" s="24" t="n">
        <f aca="false">C18*20</f>
        <v>200</v>
      </c>
      <c r="D27" s="24" t="n">
        <f aca="false">D18*20</f>
        <v>500</v>
      </c>
    </row>
    <row r="28" customFormat="false" ht="15" hidden="false" customHeight="false" outlineLevel="0" collapsed="false">
      <c r="A28" s="3" t="s">
        <v>65</v>
      </c>
      <c r="B28" s="24" t="n">
        <f aca="false">B19*192/12</f>
        <v>16</v>
      </c>
      <c r="C28" s="24" t="n">
        <f aca="false">C19*192/12</f>
        <v>80</v>
      </c>
      <c r="D28" s="24" t="n">
        <f aca="false">D19*192/12</f>
        <v>240</v>
      </c>
    </row>
    <row r="29" customFormat="false" ht="15" hidden="false" customHeight="false" outlineLevel="0" collapsed="false">
      <c r="A29" s="3" t="s">
        <v>66</v>
      </c>
      <c r="B29" s="24" t="n">
        <f aca="false">B20*80</f>
        <v>80</v>
      </c>
      <c r="C29" s="24" t="n">
        <f aca="false">C20*80</f>
        <v>240</v>
      </c>
      <c r="D29" s="24" t="n">
        <f aca="false">D20*80</f>
        <v>640</v>
      </c>
    </row>
    <row r="30" customFormat="false" ht="15" hidden="false" customHeight="false" outlineLevel="0" collapsed="false">
      <c r="A30" s="3" t="s">
        <v>67</v>
      </c>
      <c r="B30" s="24" t="n">
        <f aca="false">B21*768/12</f>
        <v>0</v>
      </c>
      <c r="C30" s="24" t="n">
        <f aca="false">C21*768/12</f>
        <v>128</v>
      </c>
      <c r="D30" s="24" t="n">
        <f aca="false">D21*768/12</f>
        <v>320</v>
      </c>
    </row>
    <row r="31" customFormat="false" ht="15" hidden="false" customHeight="false" outlineLevel="0" collapsed="false">
      <c r="A31" s="3" t="s">
        <v>68</v>
      </c>
      <c r="B31" s="24" t="n">
        <f aca="false">B22*300</f>
        <v>0</v>
      </c>
      <c r="C31" s="24" t="n">
        <f aca="false">C22*300</f>
        <v>300</v>
      </c>
      <c r="D31" s="24" t="n">
        <f aca="false">D22*300</f>
        <v>600</v>
      </c>
    </row>
    <row r="32" customFormat="false" ht="15" hidden="false" customHeight="false" outlineLevel="0" collapsed="false">
      <c r="A32" s="3" t="s">
        <v>69</v>
      </c>
      <c r="B32" s="24" t="n">
        <f aca="false">B23*2880/12</f>
        <v>0</v>
      </c>
      <c r="C32" s="24" t="n">
        <f aca="false">C23*2880/12</f>
        <v>0</v>
      </c>
      <c r="D32" s="24" t="n">
        <f aca="false">D23*2880/12</f>
        <v>480</v>
      </c>
    </row>
    <row r="33" customFormat="false" ht="15" hidden="false" customHeight="false" outlineLevel="0" collapsed="false">
      <c r="A33" s="3" t="s">
        <v>70</v>
      </c>
      <c r="B33" s="24" t="n">
        <f aca="false">B24*2880/12</f>
        <v>0</v>
      </c>
      <c r="C33" s="24" t="n">
        <f aca="false">C24*2880/12</f>
        <v>0</v>
      </c>
      <c r="D33" s="24" t="n">
        <f aca="false">D24*2880/12</f>
        <v>240</v>
      </c>
    </row>
    <row r="34" customFormat="false" ht="15" hidden="false" customHeight="false" outlineLevel="0" collapsed="false">
      <c r="A34" s="8" t="s">
        <v>71</v>
      </c>
      <c r="B34" s="25" t="n">
        <f aca="false">SUM(B27:B33)</f>
        <v>156</v>
      </c>
      <c r="C34" s="25" t="n">
        <f aca="false">SUM(C27:C33)</f>
        <v>948</v>
      </c>
      <c r="D34" s="25" t="n">
        <f aca="false">SUM(D27:D33)</f>
        <v>3020</v>
      </c>
    </row>
    <row r="36" customFormat="false" ht="15" hidden="false" customHeight="false" outlineLevel="0" collapsed="false">
      <c r="A36" s="2" t="s">
        <v>72</v>
      </c>
      <c r="B36" s="2"/>
      <c r="C36" s="2"/>
      <c r="D36" s="2"/>
    </row>
    <row r="37" customFormat="false" ht="15" hidden="false" customHeight="false" outlineLevel="0" collapsed="false">
      <c r="A37" s="7" t="s">
        <v>73</v>
      </c>
      <c r="B37" s="26" t="n">
        <f aca="false">$B$7</f>
        <v>51.5</v>
      </c>
      <c r="C37" s="26" t="n">
        <f aca="false">$B$7</f>
        <v>51.5</v>
      </c>
      <c r="D37" s="26" t="n">
        <f aca="false">$B$7</f>
        <v>51.5</v>
      </c>
    </row>
    <row r="38" customFormat="false" ht="15" hidden="false" customHeight="false" outlineLevel="0" collapsed="false">
      <c r="A38" s="3" t="s">
        <v>74</v>
      </c>
      <c r="B38" s="24" t="n">
        <f aca="false">B34*$B$4+(B18+B19+B20+B21+B22+B23+B24)*$B$5</f>
        <v>10.3</v>
      </c>
      <c r="C38" s="24" t="n">
        <f aca="false">C34*$B$4+(C18+C19+C20+C21+C22+C23+C24)*$B$5</f>
        <v>57.9</v>
      </c>
      <c r="D38" s="24" t="n">
        <f aca="false">D34*$B$4+(D18+D19+D20+D21+D22+D23+D24)*$B$5</f>
        <v>180</v>
      </c>
    </row>
    <row r="39" customFormat="false" ht="15" hidden="false" customHeight="false" outlineLevel="0" collapsed="false">
      <c r="A39" s="3" t="s">
        <v>75</v>
      </c>
      <c r="B39" s="24" t="n">
        <f aca="false">(B17*100+(B18+B19)*2000+(B20+B21)*10000+(B22+B23+B24)*50000)*$B$6</f>
        <v>23</v>
      </c>
      <c r="C39" s="24" t="n">
        <f aca="false">(C17*100+(C18+C19)*2000+(C20+C21)*10000+(C22+C23+C24)*50000)*$B$6</f>
        <v>150</v>
      </c>
      <c r="D39" s="24" t="n">
        <f aca="false">(D17*100+(D18+D19)*2000+(D20+D21)*10000+(D22+D23+D24)*50000)*$B$6</f>
        <v>510</v>
      </c>
    </row>
    <row r="40" customFormat="false" ht="15" hidden="false" customHeight="false" outlineLevel="0" collapsed="false">
      <c r="A40" s="27" t="s">
        <v>76</v>
      </c>
      <c r="B40" s="28" t="n">
        <f aca="false">B37+B38+B39</f>
        <v>84.8</v>
      </c>
      <c r="C40" s="28" t="n">
        <f aca="false">C37+C38+C39</f>
        <v>259.4</v>
      </c>
      <c r="D40" s="28" t="n">
        <f aca="false">D37+D38+D39</f>
        <v>741.5</v>
      </c>
    </row>
    <row r="42" customFormat="false" ht="15" hidden="false" customHeight="false" outlineLevel="0" collapsed="false">
      <c r="A42" s="2" t="s">
        <v>77</v>
      </c>
      <c r="B42" s="2"/>
      <c r="C42" s="2"/>
      <c r="D42" s="2"/>
    </row>
    <row r="43" customFormat="false" ht="15" hidden="false" customHeight="false" outlineLevel="0" collapsed="false">
      <c r="A43" s="15" t="s">
        <v>78</v>
      </c>
      <c r="B43" s="29" t="n">
        <f aca="false">B34-B40</f>
        <v>71.2</v>
      </c>
      <c r="C43" s="29" t="n">
        <f aca="false">C34-C40</f>
        <v>688.6</v>
      </c>
      <c r="D43" s="29" t="n">
        <f aca="false">D34-D40</f>
        <v>2278.5</v>
      </c>
    </row>
    <row r="44" customFormat="false" ht="15" hidden="false" customHeight="false" outlineLevel="0" collapsed="false">
      <c r="A44" s="30" t="s">
        <v>79</v>
      </c>
      <c r="B44" s="31" t="n">
        <f aca="false">IF(B34=0,0,B43/B34)</f>
        <v>0.456410256410256</v>
      </c>
      <c r="C44" s="31" t="n">
        <f aca="false">IF(C34=0,0,C43/C34)</f>
        <v>0.726371308016878</v>
      </c>
      <c r="D44" s="31" t="n">
        <f aca="false">IF(D34=0,0,D43/D34)</f>
        <v>0.754470198675497</v>
      </c>
    </row>
    <row r="45" customFormat="false" ht="15" hidden="false" customHeight="false" outlineLevel="0" collapsed="false">
      <c r="A45" s="30" t="s">
        <v>80</v>
      </c>
      <c r="B45" s="32" t="n">
        <f aca="false">B43*12</f>
        <v>854.4</v>
      </c>
      <c r="C45" s="32" t="n">
        <f aca="false">C43*12</f>
        <v>8263.2</v>
      </c>
      <c r="D45" s="32" t="n">
        <f aca="false">D43*12</f>
        <v>27342</v>
      </c>
    </row>
    <row r="47" customFormat="false" ht="15" hidden="false" customHeight="false" outlineLevel="0" collapsed="false">
      <c r="A47" s="22" t="s">
        <v>81</v>
      </c>
      <c r="B47" s="22"/>
      <c r="C47" s="22"/>
      <c r="D47" s="22"/>
    </row>
    <row r="48" customFormat="false" ht="15" hidden="false" customHeight="false" outlineLevel="0" collapsed="false">
      <c r="A48" s="3" t="s">
        <v>82</v>
      </c>
      <c r="B48" s="33" t="n">
        <f aca="false">ROUNDUP($B$7/(20-20*$B$4-$B$5-2000*$B$6),0)</f>
        <v>4</v>
      </c>
      <c r="C48" s="6" t="s">
        <v>83</v>
      </c>
      <c r="D48" s="6"/>
    </row>
  </sheetData>
  <mergeCells count="9">
    <mergeCell ref="A1:E1"/>
    <mergeCell ref="A3:E3"/>
    <mergeCell ref="A14:E14"/>
    <mergeCell ref="A16:D16"/>
    <mergeCell ref="A26:D26"/>
    <mergeCell ref="A36:D36"/>
    <mergeCell ref="A42:D42"/>
    <mergeCell ref="A47:D47"/>
    <mergeCell ref="C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6" min="4" style="0" width="14"/>
    <col collapsed="false" customWidth="true" hidden="false" outlineLevel="0" max="7" min="7" style="0" width="22"/>
  </cols>
  <sheetData>
    <row r="1" customFormat="false" ht="17.9" hidden="false" customHeight="false" outlineLevel="0" collapsed="false">
      <c r="A1" s="18" t="s">
        <v>84</v>
      </c>
      <c r="B1" s="18"/>
      <c r="C1" s="18"/>
      <c r="D1" s="18"/>
      <c r="E1" s="18"/>
      <c r="F1" s="18"/>
      <c r="G1" s="18"/>
    </row>
    <row r="3" customFormat="false" ht="15" hidden="false" customHeight="false" outlineLevel="0" collapsed="false">
      <c r="A3" s="1" t="s">
        <v>85</v>
      </c>
      <c r="B3" s="1" t="s">
        <v>86</v>
      </c>
      <c r="C3" s="1" t="s">
        <v>87</v>
      </c>
      <c r="D3" s="1" t="s">
        <v>88</v>
      </c>
      <c r="E3" s="1" t="s">
        <v>89</v>
      </c>
      <c r="F3" s="1" t="s">
        <v>90</v>
      </c>
      <c r="G3" s="1" t="s">
        <v>3</v>
      </c>
    </row>
    <row r="4" customFormat="false" ht="15" hidden="false" customHeight="false" outlineLevel="0" collapsed="false">
      <c r="A4" s="34" t="s">
        <v>91</v>
      </c>
      <c r="B4" s="35" t="n">
        <v>0</v>
      </c>
      <c r="C4" s="35" t="n">
        <v>0</v>
      </c>
      <c r="D4" s="35" t="n">
        <v>0</v>
      </c>
      <c r="E4" s="36" t="n">
        <v>100</v>
      </c>
      <c r="F4" s="37" t="s">
        <v>92</v>
      </c>
      <c r="G4" s="38" t="s">
        <v>93</v>
      </c>
    </row>
    <row r="5" customFormat="false" ht="15" hidden="false" customHeight="false" outlineLevel="0" collapsed="false">
      <c r="A5" s="34" t="s">
        <v>94</v>
      </c>
      <c r="B5" s="35" t="n">
        <v>20</v>
      </c>
      <c r="C5" s="35" t="n">
        <v>16</v>
      </c>
      <c r="D5" s="35" t="n">
        <v>192</v>
      </c>
      <c r="E5" s="36" t="n">
        <v>2000</v>
      </c>
      <c r="F5" s="39" t="n">
        <v>0.015</v>
      </c>
      <c r="G5" s="38" t="s">
        <v>95</v>
      </c>
    </row>
    <row r="6" customFormat="false" ht="15" hidden="false" customHeight="false" outlineLevel="0" collapsed="false">
      <c r="A6" s="34" t="s">
        <v>96</v>
      </c>
      <c r="B6" s="35" t="n">
        <v>80</v>
      </c>
      <c r="C6" s="35" t="n">
        <v>64</v>
      </c>
      <c r="D6" s="35" t="n">
        <v>768</v>
      </c>
      <c r="E6" s="36" t="n">
        <v>10000</v>
      </c>
      <c r="F6" s="39" t="n">
        <v>0.012</v>
      </c>
      <c r="G6" s="38" t="s">
        <v>95</v>
      </c>
    </row>
    <row r="7" customFormat="false" ht="15" hidden="false" customHeight="false" outlineLevel="0" collapsed="false">
      <c r="A7" s="34" t="s">
        <v>97</v>
      </c>
      <c r="B7" s="35" t="n">
        <v>300</v>
      </c>
      <c r="C7" s="35" t="n">
        <v>240</v>
      </c>
      <c r="D7" s="35" t="n">
        <v>2880</v>
      </c>
      <c r="E7" s="36" t="n">
        <v>50000</v>
      </c>
      <c r="F7" s="39" t="n">
        <v>0.01</v>
      </c>
      <c r="G7" s="40" t="s">
        <v>98</v>
      </c>
    </row>
    <row r="9" customFormat="false" ht="14.9" hidden="false" customHeight="false" outlineLevel="0" collapsed="false">
      <c r="A9" s="41" t="s">
        <v>99</v>
      </c>
      <c r="B9" s="41"/>
      <c r="C9" s="41"/>
      <c r="D9" s="41"/>
      <c r="E9" s="41"/>
      <c r="F9" s="41"/>
      <c r="G9" s="41"/>
    </row>
    <row r="10" customFormat="false" ht="15" hidden="false" customHeight="false" outlineLevel="0" collapsed="false">
      <c r="A10" s="42" t="s">
        <v>85</v>
      </c>
      <c r="B10" s="42" t="s">
        <v>100</v>
      </c>
      <c r="C10" s="43" t="s">
        <v>101</v>
      </c>
      <c r="D10" s="43" t="s">
        <v>102</v>
      </c>
      <c r="E10" s="43" t="s">
        <v>103</v>
      </c>
      <c r="F10" s="42" t="s">
        <v>104</v>
      </c>
      <c r="G10" s="42" t="s">
        <v>79</v>
      </c>
    </row>
    <row r="11" customFormat="false" ht="15" hidden="false" customHeight="false" outlineLevel="0" collapsed="false">
      <c r="A11" s="3" t="s">
        <v>64</v>
      </c>
      <c r="B11" s="35" t="n">
        <v>20</v>
      </c>
      <c r="C11" s="44" t="n">
        <f aca="false">B11*0.05+0.5</f>
        <v>1.5</v>
      </c>
      <c r="D11" s="44" t="n">
        <f aca="false">B11-C11</f>
        <v>18.5</v>
      </c>
      <c r="E11" s="44" t="n">
        <f aca="false">2000*0.001</f>
        <v>2</v>
      </c>
      <c r="F11" s="44" t="n">
        <f aca="false">D11-E11</f>
        <v>16.5</v>
      </c>
      <c r="G11" s="45" t="n">
        <f aca="false">F11/B11</f>
        <v>0.825</v>
      </c>
    </row>
    <row r="12" customFormat="false" ht="15" hidden="false" customHeight="false" outlineLevel="0" collapsed="false">
      <c r="A12" s="3" t="s">
        <v>105</v>
      </c>
      <c r="B12" s="35" t="n">
        <v>192</v>
      </c>
      <c r="C12" s="44" t="n">
        <f aca="false">B12*0.05+0.5</f>
        <v>10.1</v>
      </c>
      <c r="D12" s="44" t="n">
        <f aca="false">B12-C12</f>
        <v>181.9</v>
      </c>
      <c r="E12" s="44" t="n">
        <f aca="false">2000*0.001*12</f>
        <v>24</v>
      </c>
      <c r="F12" s="44" t="n">
        <f aca="false">D12-E12</f>
        <v>157.9</v>
      </c>
      <c r="G12" s="45" t="n">
        <f aca="false">F12/B12</f>
        <v>0.822395833333333</v>
      </c>
    </row>
    <row r="13" customFormat="false" ht="15" hidden="false" customHeight="false" outlineLevel="0" collapsed="false">
      <c r="A13" s="3" t="s">
        <v>66</v>
      </c>
      <c r="B13" s="35" t="n">
        <v>80</v>
      </c>
      <c r="C13" s="44" t="n">
        <f aca="false">B13*0.05+0.5</f>
        <v>4.5</v>
      </c>
      <c r="D13" s="44" t="n">
        <f aca="false">B13-C13</f>
        <v>75.5</v>
      </c>
      <c r="E13" s="44" t="n">
        <f aca="false">10000*0.001</f>
        <v>10</v>
      </c>
      <c r="F13" s="44" t="n">
        <f aca="false">D13-E13</f>
        <v>65.5</v>
      </c>
      <c r="G13" s="45" t="n">
        <f aca="false">F13/B13</f>
        <v>0.81875</v>
      </c>
    </row>
    <row r="14" customFormat="false" ht="15" hidden="false" customHeight="false" outlineLevel="0" collapsed="false">
      <c r="A14" s="3" t="s">
        <v>106</v>
      </c>
      <c r="B14" s="35" t="n">
        <v>768</v>
      </c>
      <c r="C14" s="44" t="n">
        <f aca="false">B14*0.05+0.5</f>
        <v>38.9</v>
      </c>
      <c r="D14" s="44" t="n">
        <f aca="false">B14-C14</f>
        <v>729.1</v>
      </c>
      <c r="E14" s="44" t="n">
        <f aca="false">10000*0.001*12</f>
        <v>120</v>
      </c>
      <c r="F14" s="44" t="n">
        <f aca="false">D14-E14</f>
        <v>609.1</v>
      </c>
      <c r="G14" s="45" t="n">
        <f aca="false">F14/B14</f>
        <v>0.793098958333333</v>
      </c>
    </row>
    <row r="15" customFormat="false" ht="15" hidden="false" customHeight="false" outlineLevel="0" collapsed="false">
      <c r="A15" s="3" t="s">
        <v>68</v>
      </c>
      <c r="B15" s="35" t="n">
        <v>300</v>
      </c>
      <c r="C15" s="44" t="n">
        <f aca="false">B15*0.05+0.5</f>
        <v>15.5</v>
      </c>
      <c r="D15" s="44" t="n">
        <f aca="false">B15-C15</f>
        <v>284.5</v>
      </c>
      <c r="E15" s="44" t="n">
        <f aca="false">50000*0.001</f>
        <v>50</v>
      </c>
      <c r="F15" s="44" t="n">
        <f aca="false">D15-E15</f>
        <v>234.5</v>
      </c>
      <c r="G15" s="45" t="n">
        <f aca="false">F15/B15</f>
        <v>0.781666666666667</v>
      </c>
    </row>
    <row r="16" customFormat="false" ht="15" hidden="false" customHeight="false" outlineLevel="0" collapsed="false">
      <c r="A16" s="3" t="s">
        <v>107</v>
      </c>
      <c r="B16" s="35" t="n">
        <v>2880</v>
      </c>
      <c r="C16" s="44" t="n">
        <f aca="false">B16*0.05+0.5</f>
        <v>144.5</v>
      </c>
      <c r="D16" s="44" t="n">
        <f aca="false">B16-C16</f>
        <v>2735.5</v>
      </c>
      <c r="E16" s="44" t="n">
        <f aca="false">50000*0.001*12</f>
        <v>600</v>
      </c>
      <c r="F16" s="44" t="n">
        <f aca="false">D16-E16</f>
        <v>2135.5</v>
      </c>
      <c r="G16" s="45" t="n">
        <f aca="false">F16/B16</f>
        <v>0.741493055555556</v>
      </c>
    </row>
  </sheetData>
  <mergeCells count="2">
    <mergeCell ref="A1:G1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2026-03-09T06:59:42Z</dcterms:created>
  <dc:creator>openpyxl</dc:creator>
  <dc:description/>
  <dc:language>en-US</dc:language>
  <cp:lastModifiedBy/>
  <dcterms:modified xsi:type="dcterms:W3CDTF">2026-03-09T06:59:42Z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