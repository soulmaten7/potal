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📊 월간 트래픽" sheetId="2" state="visible" r:id="rId2"/>
    <sheet xmlns:r="http://schemas.openxmlformats.org/officeDocument/2006/relationships" name="📈 Data Sources" sheetId="3" state="visible" r:id="rId3"/>
    <sheet xmlns:r="http://schemas.openxmlformats.org/officeDocument/2006/relationships" name="❌ 제외 사이트" sheetId="4" state="visible" r:id="rId4"/>
  </sheets>
  <definedNames>
    <definedName name="_xlnm._FilterDatabase" localSheetId="0" hidden="1">'Master Tracker'!$A$5:$U$89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2122C"/>
      <sz val="14"/>
    </font>
    <font>
      <name val="DejaVu Sans"/>
      <family val="2"/>
      <b val="1"/>
      <color rgb="FF02122C"/>
      <sz val="14"/>
    </font>
    <font>
      <name val="DejaVu Sans"/>
      <family val="2"/>
      <color rgb="FF666666"/>
      <sz val="9"/>
    </font>
    <font>
      <name val="DejaVu Sans"/>
      <charset val="1"/>
      <family val="2"/>
      <color rgb="FF666666"/>
      <sz val="9"/>
    </font>
    <font>
      <name val="Arial"/>
      <charset val="1"/>
      <family val="2"/>
      <b val="1"/>
      <color rgb="FFC62828"/>
      <sz val="9"/>
    </font>
    <font>
      <name val="DejaVu Sans"/>
      <family val="2"/>
      <b val="1"/>
      <color rgb="FFC62828"/>
      <sz val="9"/>
    </font>
    <font>
      <name val="DejaVu Sans"/>
      <family val="2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DejaVu Sans"/>
      <family val="2"/>
      <b val="1"/>
      <color rgb="FFFFFFFF"/>
      <sz val="11"/>
    </font>
    <font>
      <name val="DejaVu Sans"/>
      <charset val="1"/>
      <family val="2"/>
      <b val="1"/>
      <color rgb="FFFFFFFF"/>
      <sz val="11"/>
    </font>
    <font>
      <name val="Arial"/>
      <charset val="1"/>
      <family val="2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sz val="9"/>
    </font>
    <font>
      <name val="Arial"/>
      <charset val="1"/>
      <family val="2"/>
      <i val="1"/>
      <color rgb="FF5C6BC0"/>
      <sz val="10"/>
    </font>
    <font>
      <name val="DejaVu Sans"/>
      <family val="2"/>
      <i val="1"/>
      <color rgb="FF5C6BC0"/>
      <sz val="10"/>
    </font>
    <font>
      <name val="DejaVu Sans"/>
      <charset val="1"/>
      <family val="2"/>
      <i val="1"/>
      <color rgb="FF5C6BC0"/>
      <sz val="10"/>
    </font>
    <font>
      <name val="Arial"/>
      <charset val="1"/>
      <family val="2"/>
      <b val="1"/>
      <i val="1"/>
      <color rgb="FF5C6BC0"/>
      <sz val="10"/>
    </font>
    <font>
      <name val="Arial"/>
      <charset val="1"/>
      <family val="2"/>
      <i val="1"/>
      <color rgb="FF5C6BC0"/>
      <sz val="9"/>
    </font>
    <font>
      <name val="DejaVu Sans"/>
      <family val="2"/>
      <b val="1"/>
      <color rgb="FF02122C"/>
      <sz val="13"/>
    </font>
    <font>
      <name val="DejaVu Sans"/>
      <charset val="1"/>
      <family val="2"/>
      <b val="1"/>
      <color rgb="FF02122C"/>
      <sz val="13"/>
    </font>
    <font>
      <name val="DejaVu Sans"/>
      <charset val="1"/>
      <family val="2"/>
      <b val="1"/>
      <color rgb="FF02122C"/>
      <sz val="14"/>
    </font>
    <font>
      <name val="DejaVu Sans"/>
      <charset val="1"/>
      <family val="2"/>
      <b val="1"/>
      <color rgb="FFC62828"/>
      <sz val="9"/>
    </font>
    <font>
      <name val="DejaVu Sans"/>
      <family val="2"/>
      <b val="1"/>
      <sz val="9"/>
    </font>
    <font>
      <name val="DejaVu Sans"/>
      <charset val="1"/>
      <family val="2"/>
      <b val="1"/>
      <sz val="9"/>
    </font>
    <font>
      <name val="DejaVu Sans"/>
      <family val="2"/>
      <b val="1"/>
      <color rgb="FF2E7D32"/>
      <sz val="9"/>
    </font>
    <font>
      <name val="DejaVu Sans"/>
      <family val="2"/>
      <b val="1"/>
      <color rgb="FFE65100"/>
      <sz val="9"/>
    </font>
    <font>
      <name val="DejaVu Sans"/>
      <family val="2"/>
      <b val="1"/>
      <color rgb="FFB71C1C"/>
      <sz val="9"/>
    </font>
    <font>
      <name val="DejaVu Sans"/>
      <family val="2"/>
      <color rgb="FF757575"/>
      <sz val="9"/>
    </font>
    <font>
      <name val="DejaVu Sans"/>
      <charset val="1"/>
      <family val="2"/>
      <color rgb="FF757575"/>
      <sz val="9"/>
    </font>
    <font>
      <name val="Arial"/>
      <charset val="1"/>
      <family val="2"/>
      <b val="1"/>
      <color rgb="FF0D47A1"/>
      <sz val="10"/>
    </font>
    <font>
      <name val="Arial"/>
      <charset val="1"/>
      <family val="2"/>
      <color rgb="FF757575"/>
      <sz val="9"/>
    </font>
    <font>
      <name val="Arial"/>
      <charset val="1"/>
      <family val="2"/>
      <b val="1"/>
      <color rgb="FF02122C"/>
      <sz val="13"/>
    </font>
    <font>
      <name val="Arial"/>
      <charset val="1"/>
      <family val="2"/>
      <color rgb="FF37474F"/>
      <sz val="10"/>
    </font>
    <font>
      <name val="DejaVu Sans"/>
      <family val="2"/>
      <color rgb="FF37474F"/>
      <sz val="10"/>
    </font>
    <font>
      <name val="DejaVu Sans"/>
      <charset val="1"/>
      <family val="2"/>
      <color rgb="FF37474F"/>
      <sz val="10"/>
    </font>
    <font>
      <name val="Calibri"/>
      <family val="2"/>
      <b val="1"/>
      <color rgb="FF000000"/>
      <sz val="18"/>
    </font>
    <font>
      <name val="DejaVu Sans"/>
      <family val="2"/>
      <b val="1"/>
      <color rgb="FF000000"/>
      <sz val="18"/>
    </font>
    <font>
      <name val="Calibri"/>
      <family val="2"/>
      <color rgb="FF000000"/>
      <sz val="10"/>
    </font>
    <font>
      <name val="DejaVu Sans"/>
      <family val="2"/>
      <b val="1"/>
      <color rgb="FF000000"/>
      <sz val="10"/>
    </font>
    <font>
      <name val="Calibri"/>
      <family val="2"/>
      <b val="1"/>
      <color rgb="FF000000"/>
      <sz val="10"/>
    </font>
    <font>
      <name val="DejaVu Sans"/>
      <family val="2"/>
      <b val="1"/>
      <sz val="10"/>
    </font>
    <font>
      <name val="DejaVu Sans"/>
      <charset val="1"/>
      <family val="2"/>
      <b val="1"/>
      <sz val="10"/>
    </font>
    <font>
      <name val="DejaVu Sans"/>
      <family val="2"/>
      <b val="1"/>
      <color rgb="FF02122C"/>
      <sz val="12"/>
    </font>
  </fonts>
  <fills count="23">
    <fill>
      <patternFill/>
    </fill>
    <fill>
      <patternFill patternType="gray125"/>
    </fill>
    <fill>
      <patternFill patternType="solid">
        <fgColor rgb="FF02122C"/>
        <bgColor rgb="FF000000"/>
      </patternFill>
    </fill>
    <fill>
      <patternFill patternType="solid">
        <fgColor rgb="FF1565C0"/>
        <bgColor rgb="FF0D47A1"/>
      </patternFill>
    </fill>
    <fill>
      <patternFill patternType="solid">
        <fgColor rgb="FFB3E5FC"/>
        <bgColor rgb="FFC8E6C9"/>
      </patternFill>
    </fill>
    <fill>
      <patternFill patternType="solid">
        <fgColor rgb="FFC8E6C9"/>
        <bgColor rgb="FFD9D9D9"/>
      </patternFill>
    </fill>
    <fill>
      <patternFill patternType="solid">
        <fgColor rgb="FFFFE0B2"/>
        <bgColor rgb="FFFFCDD2"/>
      </patternFill>
    </fill>
    <fill>
      <patternFill patternType="solid">
        <fgColor rgb="FFE8EAF6"/>
        <bgColor rgb="FFE3F2FD"/>
      </patternFill>
    </fill>
    <fill>
      <patternFill patternType="solid">
        <fgColor rgb="FF6A1B9A"/>
        <bgColor rgb="FF660066"/>
      </patternFill>
    </fill>
    <fill>
      <patternFill patternType="solid">
        <fgColor rgb="FFFFF9C4"/>
        <bgColor rgb="FFF5F5F5"/>
      </patternFill>
    </fill>
    <fill>
      <patternFill patternType="solid">
        <fgColor rgb="FFC62828"/>
        <bgColor rgb="FFB71C1C"/>
      </patternFill>
    </fill>
    <fill>
      <patternFill patternType="solid">
        <fgColor rgb="FF2E7D32"/>
        <bgColor rgb="FF33691E"/>
      </patternFill>
    </fill>
    <fill>
      <patternFill patternType="solid">
        <fgColor rgb="FFFFCDD2"/>
        <bgColor rgb="FFFFE0B2"/>
      </patternFill>
    </fill>
    <fill>
      <patternFill patternType="solid">
        <fgColor rgb="FFE65100"/>
        <bgColor rgb="FFD84315"/>
      </patternFill>
    </fill>
    <fill>
      <patternFill patternType="solid">
        <fgColor rgb="FFAD1457"/>
        <bgColor rgb="FFB71C1C"/>
      </patternFill>
    </fill>
    <fill>
      <patternFill patternType="solid">
        <fgColor rgb="FF00695C"/>
        <bgColor rgb="FF00838F"/>
      </patternFill>
    </fill>
    <fill>
      <patternFill patternType="solid">
        <fgColor rgb="FF4E342E"/>
        <bgColor rgb="FF37474F"/>
      </patternFill>
    </fill>
    <fill>
      <patternFill patternType="solid">
        <fgColor rgb="FF283593"/>
        <bgColor rgb="FF0D47A1"/>
      </patternFill>
    </fill>
    <fill>
      <patternFill patternType="solid">
        <fgColor rgb="FF37474F"/>
        <bgColor rgb="FF4E342E"/>
      </patternFill>
    </fill>
    <fill>
      <patternFill patternType="solid">
        <fgColor rgb="FFF57F17"/>
        <bgColor rgb="FFFF6600"/>
      </patternFill>
    </fill>
    <fill>
      <patternFill patternType="solid">
        <fgColor rgb="FF0D47A1"/>
        <bgColor rgb="FF283593"/>
      </patternFill>
    </fill>
    <fill>
      <patternFill patternType="solid">
        <fgColor rgb="FFE3F2FD"/>
        <bgColor rgb="FFE8EAF6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left" vertical="center"/>
    </xf>
    <xf numFmtId="0" fontId="1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center" vertical="center" wrapText="1"/>
    </xf>
    <xf numFmtId="3" fontId="36" fillId="21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left" vertical="center" wrapText="1"/>
    </xf>
    <xf numFmtId="0" fontId="18" fillId="22" borderId="1" applyAlignment="1" pivotButton="0" quotePrefix="0" xfId="0">
      <alignment horizontal="left" vertical="center" wrapText="1"/>
    </xf>
    <xf numFmtId="0" fontId="16" fillId="22" borderId="1" applyAlignment="1" pivotButton="0" quotePrefix="0" xfId="0">
      <alignment horizontal="center" vertical="center" wrapText="1"/>
    </xf>
    <xf numFmtId="3" fontId="15" fillId="22" borderId="1" applyAlignment="1" pivotButton="0" quotePrefix="0" xfId="0">
      <alignment horizontal="center" vertical="center" wrapText="1"/>
    </xf>
    <xf numFmtId="0" fontId="37" fillId="22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center" vertical="center" wrapText="1"/>
    </xf>
    <xf numFmtId="0" fontId="33" fillId="1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general" vertical="bottom"/>
    </xf>
    <xf numFmtId="3" fontId="11" fillId="2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5" fillId="22" borderId="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24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 wrapText="1"/>
    </xf>
    <xf numFmtId="0" fontId="13" fillId="13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3" fillId="15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left" vertical="center"/>
    </xf>
    <xf numFmtId="0" fontId="1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horizontal="left" vertical="center"/>
    </xf>
    <xf numFmtId="0" fontId="13" fillId="19" borderId="0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general" vertical="bottom"/>
    </xf>
    <xf numFmtId="0" fontId="32" fillId="6" borderId="0" applyAlignment="1" pivotButton="0" quotePrefix="0" xfId="0">
      <alignment horizontal="general" vertical="bottom"/>
    </xf>
    <xf numFmtId="0" fontId="33" fillId="12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1" fillId="3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center" vertical="center" wrapText="1"/>
    </xf>
    <xf numFmtId="3" fontId="36" fillId="21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left" vertical="center" wrapText="1"/>
    </xf>
    <xf numFmtId="0" fontId="18" fillId="22" borderId="1" applyAlignment="1" pivotButton="0" quotePrefix="0" xfId="0">
      <alignment horizontal="left" vertical="center" wrapText="1"/>
    </xf>
    <xf numFmtId="0" fontId="16" fillId="22" borderId="1" applyAlignment="1" pivotButton="0" quotePrefix="0" xfId="0">
      <alignment horizontal="center" vertical="center" wrapText="1"/>
    </xf>
    <xf numFmtId="3" fontId="15" fillId="22" borderId="1" applyAlignment="1" pivotButton="0" quotePrefix="0" xfId="0">
      <alignment horizontal="center" vertical="center" wrapText="1"/>
    </xf>
    <xf numFmtId="0" fontId="37" fillId="22" borderId="1" applyAlignment="1" pivotButton="0" quotePrefix="0" xfId="0">
      <alignment horizontal="left" vertical="center" wrapText="1"/>
    </xf>
    <xf numFmtId="0" fontId="32" fillId="6" borderId="1" applyAlignment="1" pivotButton="0" quotePrefix="0" xfId="0">
      <alignment horizontal="center" vertical="center" wrapText="1"/>
    </xf>
    <xf numFmtId="0" fontId="33" fillId="12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general" vertical="bottom"/>
    </xf>
    <xf numFmtId="3" fontId="11" fillId="20" borderId="1" applyAlignment="1" pivotButton="0" quotePrefix="0" xfId="0">
      <alignment horizontal="center" vertical="center" wrapText="1"/>
    </xf>
    <xf numFmtId="164" fontId="15" fillId="0" borderId="1" applyAlignment="1" pivotButton="0" quotePrefix="0" xfId="0">
      <alignment horizontal="center" vertical="center" wrapText="1"/>
    </xf>
    <xf numFmtId="164" fontId="15" fillId="22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4">
    <dxf>
      <fill>
        <patternFill patternType="solid">
          <fgColor rgb="FF00695C"/>
          <bgColor rgb="FF000000"/>
        </patternFill>
      </fill>
    </dxf>
    <dxf>
      <fill>
        <patternFill patternType="solid">
          <fgColor rgb="FF02122C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83593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4E342E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AD1457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C6B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E5FC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B71C1C"/>
      <rgbColor rgb="FF33691E"/>
      <rgbColor rgb="FF000080"/>
      <rgbColor rgb="FF666666"/>
      <rgbColor rgb="FF6A1B9A"/>
      <rgbColor rgb="FF00838F"/>
      <rgbColor rgb="FFBDBDBD"/>
      <rgbColor rgb="FF757575"/>
      <rgbColor rgb="FF9999FF"/>
      <rgbColor rgb="FFAD1457"/>
      <rgbColor rgb="FFFFF9C4"/>
      <rgbColor rgb="FFE3F2FD"/>
      <rgbColor rgb="FF660066"/>
      <rgbColor rgb="FFE65100"/>
      <rgbColor rgb="FF1565C0"/>
      <rgbColor rgb="FFD9D9D9"/>
      <rgbColor rgb="FF000080"/>
      <rgbColor rgb="FFFF00FF"/>
      <rgbColor rgb="FFFFFF00"/>
      <rgbColor rgb="FF00FFFF"/>
      <rgbColor rgb="FFD84315"/>
      <rgbColor rgb="FFC62828"/>
      <rgbColor rgb="FF00695C"/>
      <rgbColor rgb="FF0000FF"/>
      <rgbColor rgb="FF00CCFF"/>
      <rgbColor rgb="FFE8EAF6"/>
      <rgbColor rgb="FFC8E6C9"/>
      <rgbColor rgb="FFF5F5F5"/>
      <rgbColor rgb="FFB3E5FC"/>
      <rgbColor rgb="FFFFCDD2"/>
      <rgbColor rgb="FFB3B3B3"/>
      <rgbColor rgb="FFFFE0B2"/>
      <rgbColor rgb="FF4F81BD"/>
      <rgbColor rgb="FF33CCCC"/>
      <rgbColor rgb="FF99CC00"/>
      <rgbColor rgb="FFFFCC00"/>
      <rgbColor rgb="FFF57F17"/>
      <rgbColor rgb="FFFF6600"/>
      <rgbColor rgb="FF5C6BC0"/>
      <rgbColor rgb="FF9E9E9E"/>
      <rgbColor rgb="FF0D47A1"/>
      <rgbColor rgb="FF2E7D32"/>
      <rgbColor rgb="FF02122C"/>
      <rgbColor rgb="FF37474F"/>
      <rgbColor rgb="FFBF360C"/>
      <rgbColor rgb="FF795548"/>
      <rgbColor rgb="FF283593"/>
      <rgbColor rgb="FF4E34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 xml:space="preserve">2025 </a:t>
            </a: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 xml:space="preserve">연간 총 웹 트래픽 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(</a:t>
            </a: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백만 방문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'📊 월간 트래픽'!$O$5</f>
              <strCache>
                <ptCount val="1"/>
                <pt idx="0">
                  <v>연간 합계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numFmt formatCode="#,##0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1"/>
            <showVal val="1"/>
            <showCatName val="1"/>
            <showSerName val="1"/>
            <showPercent val="0"/>
            <showLeaderLines val="0"/>
          </dLbls>
          <cat>
            <strRef>
              <f>'📊 월간 트래픽'!$A$6:$A$23</f>
              <strCache>
                <ptCount val="18"/>
                <pt idx="0">
                  <v>Amazon</v>
                </pt>
                <pt idx="1">
                  <v>Walmart</v>
                </pt>
                <pt idx="2">
                  <v>eBay</v>
                </pt>
                <pt idx="3">
                  <v>Apple</v>
                </pt>
                <pt idx="4">
                  <v>Target</v>
                </pt>
                <pt idx="5">
                  <v>Costco</v>
                </pt>
                <pt idx="6">
                  <v>Temu</v>
                </pt>
                <pt idx="7">
                  <v>Etsy</v>
                </pt>
                <pt idx="8">
                  <v>Best Buy</v>
                </pt>
                <pt idx="9">
                  <v>Nike</v>
                </pt>
                <pt idx="10">
                  <v>Home Depot</v>
                </pt>
                <pt idx="11">
                  <v>Shein</v>
                </pt>
                <pt idx="12">
                  <v>AliExpress</v>
                </pt>
                <pt idx="13">
                  <v>Wayfair</v>
                </pt>
                <pt idx="14">
                  <v>Chewy</v>
                </pt>
                <pt idx="15">
                  <v>Macy's</v>
                </pt>
                <pt idx="16">
                  <v>Sephora</v>
                </pt>
                <pt idx="17">
                  <v>IKEA (US)</v>
                </pt>
              </strCache>
            </strRef>
          </cat>
          <val>
            <numRef>
              <f>'📊 월간 트래픽'!$O$6:$O$23</f>
              <numCache>
                <formatCode>#,##0</formatCode>
                <ptCount val="18"/>
                <pt idx="0">
                  <v>30780</v>
                </pt>
                <pt idx="1">
                  <v>5683</v>
                </pt>
                <pt idx="2">
                  <v>8355</v>
                </pt>
                <pt idx="3">
                  <v>5935</v>
                </pt>
                <pt idx="4">
                  <v>2324</v>
                </pt>
                <pt idx="5">
                  <v>1551</v>
                </pt>
                <pt idx="6">
                  <v>13450</v>
                </pt>
                <pt idx="7">
                  <v>5116</v>
                </pt>
                <pt idx="8">
                  <v>1767</v>
                </pt>
                <pt idx="9">
                  <v>1564</v>
                </pt>
                <pt idx="10">
                  <v>2407</v>
                </pt>
                <pt idx="11">
                  <v>2903</v>
                </pt>
                <pt idx="12">
                  <v>11505</v>
                </pt>
                <pt idx="13">
                  <v>811</v>
                </pt>
                <pt idx="14">
                  <v>523</v>
                </pt>
                <pt idx="15">
                  <v>628</v>
                </pt>
                <pt idx="16">
                  <v>516</v>
                </pt>
                <pt idx="17">
                  <v>524</v>
                </pt>
              </numCache>
            </numRef>
          </val>
        </ser>
        <gapWidth val="150"/>
        <overlap val="0"/>
        <axId val="3125065"/>
        <axId val="53104658"/>
      </barChart>
      <catAx>
        <axId val="312506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53104658"/>
        <crosses val="autoZero"/>
        <auto val="1"/>
        <lblAlgn val="ctr"/>
        <lblOffset val="100"/>
        <noMultiLvlLbl val="0"/>
      </catAx>
      <valAx>
        <axId val="5310465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 xml:space="preserve">방문 수 </a:t>
                </a: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백만</a:t>
                </a: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125065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 xml:space="preserve">2025 </a:t>
            </a: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 xml:space="preserve">월별 트래픽 추이 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 xml:space="preserve">— </a:t>
            </a:r>
            <a:r>
              <a:rPr lang="en" sz="1800" b="1" strike="noStrike">
                <a:solidFill>
                  <a:srgbClr val="000000"/>
                </a:solidFill>
                <a:uFillTx/>
                <a:latin typeface="Calibri"/>
              </a:rPr>
              <a:t>Top 6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"Amazon"</f>
              <strCache>
                <ptCount val="1"/>
                <pt idx="0">
                  <v>Amazon</v>
                </pt>
              </strCache>
            </strRef>
          </tx>
          <spPr>
            <a:solidFill xmlns:a="http://schemas.openxmlformats.org/drawingml/2006/main">
              <a:srgbClr val="ff6600"/>
            </a:solidFill>
            <a:ln xmlns:a="http://schemas.openxmlformats.org/drawingml/2006/main" w="28080">
              <a:solidFill>
                <a:srgbClr val="ff660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f66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트래픽'!$C$6:$N$6</f>
              <numCache>
                <formatCode>#,##0</formatCode>
                <ptCount val="12"/>
                <pt idx="0">
                  <v>2650</v>
                </pt>
                <pt idx="1">
                  <v>2230</v>
                </pt>
                <pt idx="2">
                  <v>2340</v>
                </pt>
                <pt idx="3">
                  <v>2440</v>
                </pt>
                <pt idx="4">
                  <v>2450</v>
                </pt>
                <pt idx="5">
                  <v>2460</v>
                </pt>
                <pt idx="6">
                  <v>2550</v>
                </pt>
                <pt idx="7">
                  <v>2500</v>
                </pt>
                <pt idx="8">
                  <v>2550</v>
                </pt>
                <pt idx="9">
                  <v>2660</v>
                </pt>
                <pt idx="10">
                  <v>2970</v>
                </pt>
                <pt idx="11">
                  <v>2980</v>
                </pt>
              </numCache>
            </numRef>
          </val>
          <smooth val="1"/>
        </ser>
        <ser>
          <idx val="1"/>
          <order val="1"/>
          <tx>
            <strRef>
              <f>"Temu"</f>
              <strCache>
                <ptCount val="1"/>
                <pt idx="0">
                  <v>Temu</v>
                </pt>
              </strCache>
            </strRef>
          </tx>
          <spPr>
            <a:solidFill xmlns:a="http://schemas.openxmlformats.org/drawingml/2006/main">
              <a:srgbClr val="6a1b9a"/>
            </a:solidFill>
            <a:ln xmlns:a="http://schemas.openxmlformats.org/drawingml/2006/main" w="28080">
              <a:solidFill>
                <a:srgbClr val="6a1b9a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6a1b9a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트래픽'!$C$12:$N$12</f>
              <numCache>
                <formatCode>#,##0</formatCode>
                <ptCount val="12"/>
                <pt idx="0">
                  <v>550</v>
                </pt>
                <pt idx="1">
                  <v>630</v>
                </pt>
                <pt idx="2">
                  <v>700</v>
                </pt>
                <pt idx="3">
                  <v>790</v>
                </pt>
                <pt idx="4">
                  <v>860</v>
                </pt>
                <pt idx="5">
                  <v>2110</v>
                </pt>
                <pt idx="6">
                  <v>1100</v>
                </pt>
                <pt idx="7">
                  <v>1250</v>
                </pt>
                <pt idx="8">
                  <v>1800</v>
                </pt>
                <pt idx="9">
                  <v>1400</v>
                </pt>
                <pt idx="10">
                  <v>1170</v>
                </pt>
                <pt idx="11">
                  <v>1090</v>
                </pt>
              </numCache>
            </numRef>
          </val>
          <smooth val="1"/>
        </ser>
        <ser>
          <idx val="2"/>
          <order val="2"/>
          <tx>
            <strRef>
              <f>"AliExpress"</f>
              <strCache>
                <ptCount val="1"/>
                <pt idx="0">
                  <v>AliExpress</v>
                </pt>
              </strCache>
            </strRef>
          </tx>
          <spPr>
            <a:solidFill xmlns:a="http://schemas.openxmlformats.org/drawingml/2006/main">
              <a:srgbClr val="c62828"/>
            </a:solidFill>
            <a:ln xmlns:a="http://schemas.openxmlformats.org/drawingml/2006/main" w="28080">
              <a:solidFill>
                <a:srgbClr val="c62828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c62828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트래픽'!$C$18:$N$18</f>
              <numCache>
                <formatCode>#,##0</formatCode>
                <ptCount val="12"/>
                <pt idx="0">
                  <v>790</v>
                </pt>
                <pt idx="1">
                  <v>760</v>
                </pt>
                <pt idx="2">
                  <v>805</v>
                </pt>
                <pt idx="3">
                  <v>835</v>
                </pt>
                <pt idx="4">
                  <v>865</v>
                </pt>
                <pt idx="5">
                  <v>935</v>
                </pt>
                <pt idx="6">
                  <v>1440</v>
                </pt>
                <pt idx="7">
                  <v>1150</v>
                </pt>
                <pt idx="8">
                  <v>1010</v>
                </pt>
                <pt idx="9">
                  <v>980</v>
                </pt>
                <pt idx="10">
                  <v>965</v>
                </pt>
                <pt idx="11">
                  <v>970</v>
                </pt>
              </numCache>
            </numRef>
          </val>
          <smooth val="1"/>
        </ser>
        <ser>
          <idx val="3"/>
          <order val="3"/>
          <tx>
            <strRef>
              <f>"eBay"</f>
              <strCache>
                <ptCount val="1"/>
                <pt idx="0">
                  <v>eBay</v>
                </pt>
              </strCache>
            </strRef>
          </tx>
          <spPr>
            <a:solidFill xmlns:a="http://schemas.openxmlformats.org/drawingml/2006/main">
              <a:srgbClr val="1565c0"/>
            </a:solidFill>
            <a:ln xmlns:a="http://schemas.openxmlformats.org/drawingml/2006/main" w="28080">
              <a:solidFill>
                <a:srgbClr val="1565c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565c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트래픽'!$C$8:$N$8</f>
              <numCache>
                <formatCode>#,##0</formatCode>
                <ptCount val="12"/>
                <pt idx="0">
                  <v>700</v>
                </pt>
                <pt idx="1">
                  <v>720</v>
                </pt>
                <pt idx="2">
                  <v>690</v>
                </pt>
                <pt idx="3">
                  <v>680</v>
                </pt>
                <pt idx="4">
                  <v>670</v>
                </pt>
                <pt idx="5">
                  <v>665</v>
                </pt>
                <pt idx="6">
                  <v>665</v>
                </pt>
                <pt idx="7">
                  <v>670</v>
                </pt>
                <pt idx="8">
                  <v>690</v>
                </pt>
                <pt idx="9">
                  <v>730</v>
                </pt>
                <pt idx="10">
                  <v>720</v>
                </pt>
                <pt idx="11">
                  <v>755</v>
                </pt>
              </numCache>
            </numRef>
          </val>
          <smooth val="1"/>
        </ser>
        <ser>
          <idx val="4"/>
          <order val="4"/>
          <tx>
            <strRef>
              <f>"Walmart"</f>
              <strCache>
                <ptCount val="1"/>
                <pt idx="0">
                  <v>Walmart</v>
                </pt>
              </strCache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 w="28080">
              <a:solidFill>
                <a:srgbClr val="2e7d3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트래픽'!$C$7:$N$7</f>
              <numCache>
                <formatCode>#,##0</formatCode>
                <ptCount val="12"/>
                <pt idx="0">
                  <v>410</v>
                </pt>
                <pt idx="1">
                  <v>390</v>
                </pt>
                <pt idx="2">
                  <v>400</v>
                </pt>
                <pt idx="3">
                  <v>420</v>
                </pt>
                <pt idx="4">
                  <v>430</v>
                </pt>
                <pt idx="5">
                  <v>440</v>
                </pt>
                <pt idx="6">
                  <v>528</v>
                </pt>
                <pt idx="7">
                  <v>455</v>
                </pt>
                <pt idx="8">
                  <v>465</v>
                </pt>
                <pt idx="9">
                  <v>470</v>
                </pt>
                <pt idx="10">
                  <v>575</v>
                </pt>
                <pt idx="11">
                  <v>700</v>
                </pt>
              </numCache>
            </numRef>
          </val>
          <smooth val="1"/>
        </ser>
        <ser>
          <idx val="5"/>
          <order val="5"/>
          <tx>
            <strRef>
              <f>"Etsy"</f>
              <strCache>
                <ptCount val="1"/>
                <pt idx="0">
                  <v>Etsy</v>
                </pt>
              </strCache>
            </strRef>
          </tx>
          <spPr>
            <a:solidFill xmlns:a="http://schemas.openxmlformats.org/drawingml/2006/main">
              <a:srgbClr val="f57f17"/>
            </a:solidFill>
            <a:ln xmlns:a="http://schemas.openxmlformats.org/drawingml/2006/main" w="28080">
              <a:solidFill>
                <a:srgbClr val="f57f17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f57f17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val>
            <numRef>
              <f>'📊 월간 트래픽'!$C$13:$N$13</f>
              <numCache>
                <formatCode>#,##0</formatCode>
                <ptCount val="12"/>
                <pt idx="0">
                  <v>400</v>
                </pt>
                <pt idx="1">
                  <v>390</v>
                </pt>
                <pt idx="2">
                  <v>395</v>
                </pt>
                <pt idx="3">
                  <v>405</v>
                </pt>
                <pt idx="4">
                  <v>410</v>
                </pt>
                <pt idx="5">
                  <v>400</v>
                </pt>
                <pt idx="6">
                  <v>405</v>
                </pt>
                <pt idx="7">
                  <v>410</v>
                </pt>
                <pt idx="8">
                  <v>420</v>
                </pt>
                <pt idx="9">
                  <v>440</v>
                </pt>
                <pt idx="10">
                  <v>505</v>
                </pt>
                <pt idx="11">
                  <v>536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21290064"/>
        <axId val="30622834"/>
      </lineChart>
      <catAx>
        <axId val="2129006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30622834"/>
        <crosses val="autoZero"/>
        <auto val="1"/>
        <lblAlgn val="ctr"/>
        <lblOffset val="100"/>
        <noMultiLvlLbl val="0"/>
      </catAx>
      <valAx>
        <axId val="3062283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 xml:space="preserve">방문 수 </a:t>
                </a: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(</a:t>
                </a: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백만</a:t>
                </a: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129006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" sz="1800" b="1" strike="noStrike">
                <a:solidFill>
                  <a:srgbClr val="000000"/>
                </a:solidFill>
                <a:uFillTx/>
                <a:latin typeface="Calibri"/>
              </a:rPr>
              <a:t xml:space="preserve">2025 Q4 </a:t>
            </a: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 xml:space="preserve">트래픽 점유율 </a:t>
            </a: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(</a:t>
            </a:r>
            <a:r>
              <a:rPr lang="en" sz="1800" b="1" strike="noStrike">
                <a:solidFill>
                  <a:srgbClr val="000000"/>
                </a:solidFill>
                <a:uFillTx/>
                <a:latin typeface="Calibri"/>
              </a:rPr>
              <a:t>Oct-Dec)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'📊 월간 트래픽'!$B$91</f>
              <strCache>
                <ptCount val="1"/>
                <pt idx="0">
                  <v>Q4 합계(M)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ff660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d32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565c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e9e9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6510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795548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a1b9a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57f17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00838f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c62828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33691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ad1457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d84315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00695c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4e342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bf360c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6"/>
            <spPr>
              <a:solidFill xmlns:a="http://schemas.openxmlformats.org/drawingml/2006/main">
                <a:srgbClr val="e91e63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37474f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1"/>
            <showVal val="0"/>
            <showCatName val="1"/>
            <showSerName val="0"/>
            <showPercent val="1"/>
            <showLeaderLines val="1"/>
          </dLbls>
          <cat>
            <strRef>
              <f>'📊 월간 트래픽'!$A$92:$A$109</f>
              <strCache>
                <ptCount val="18"/>
                <pt idx="0">
                  <v>Amazon</v>
                </pt>
                <pt idx="1">
                  <v>Walmart</v>
                </pt>
                <pt idx="2">
                  <v>eBay</v>
                </pt>
                <pt idx="3">
                  <v>Apple</v>
                </pt>
                <pt idx="4">
                  <v>Target</v>
                </pt>
                <pt idx="5">
                  <v>Costco</v>
                </pt>
                <pt idx="6">
                  <v>Temu</v>
                </pt>
                <pt idx="7">
                  <v>Etsy</v>
                </pt>
                <pt idx="8">
                  <v>Best Buy</v>
                </pt>
                <pt idx="9">
                  <v>Nike</v>
                </pt>
                <pt idx="10">
                  <v>Home Depot</v>
                </pt>
                <pt idx="11">
                  <v>Shein</v>
                </pt>
                <pt idx="12">
                  <v>AliExpress</v>
                </pt>
                <pt idx="13">
                  <v>Wayfair</v>
                </pt>
                <pt idx="14">
                  <v>Chewy</v>
                </pt>
                <pt idx="15">
                  <v>Macy's</v>
                </pt>
                <pt idx="16">
                  <v>Sephora</v>
                </pt>
                <pt idx="17">
                  <v>IKEA (US)</v>
                </pt>
              </strCache>
            </strRef>
          </cat>
          <val>
            <numRef>
              <f>'📊 월간 트래픽'!$B$92:$B$109</f>
              <numCache>
                <formatCode>#,##0</formatCode>
                <ptCount val="18"/>
                <pt idx="0">
                  <v>8610</v>
                </pt>
                <pt idx="1">
                  <v>1745</v>
                </pt>
                <pt idx="2">
                  <v>2205</v>
                </pt>
                <pt idx="3">
                  <v>1675</v>
                </pt>
                <pt idx="4">
                  <v>769</v>
                </pt>
                <pt idx="5">
                  <v>435</v>
                </pt>
                <pt idx="6">
                  <v>3660</v>
                </pt>
                <pt idx="7">
                  <v>1481</v>
                </pt>
                <pt idx="8">
                  <v>508</v>
                </pt>
                <pt idx="9">
                  <v>432</v>
                </pt>
                <pt idx="10">
                  <v>615</v>
                </pt>
                <pt idx="11">
                  <v>825</v>
                </pt>
                <pt idx="12">
                  <v>2915</v>
                </pt>
                <pt idx="13">
                  <v>257</v>
                </pt>
                <pt idx="14">
                  <v>147</v>
                </pt>
                <pt idx="15">
                  <v>205</v>
                </pt>
                <pt idx="16">
                  <v>180</v>
                </pt>
                <pt idx="17">
                  <v>139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78480</colOff>
      <row>27</row>
      <rowOff>28080</rowOff>
    </from>
    <to>
      <col>16</col>
      <colOff>24840</colOff>
      <row>53</row>
      <rowOff>12240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58</row>
      <rowOff>23040</rowOff>
    </from>
    <to>
      <col>16</col>
      <colOff>12240</colOff>
      <row>86</row>
      <rowOff>12600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2</col>
      <colOff>38160</colOff>
      <row>90</row>
      <rowOff>25560</rowOff>
    </from>
    <to>
      <col>16</col>
      <colOff>7560</colOff>
      <row>109</row>
      <rowOff>37800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1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4" activePane="bottomLeft" state="frozen"/>
      <selection pane="topLeft" activeCell="A1" activeCellId="0" sqref="A1"/>
      <selection pane="bottomLeft" activeCell="K82" activeCellId="0" sqref="K82"/>
    </sheetView>
  </sheetViews>
  <sheetFormatPr baseColWidth="8" defaultColWidth="8.66796875" defaultRowHeight="15" customHeight="1" zeroHeight="0" outlineLevelRow="0"/>
  <cols>
    <col width="5" customWidth="1" style="71" min="1" max="1"/>
    <col width="28.33" customWidth="1" style="71" min="2" max="2"/>
    <col width="4.83" customWidth="1" style="71" min="3" max="3"/>
    <col width="22" customWidth="1" style="71" min="4" max="5"/>
    <col width="11.83" customWidth="1" style="71" min="6" max="7"/>
    <col width="10" customWidth="1" style="71" min="8" max="8"/>
    <col width="9" customWidth="1" style="71" min="9" max="9"/>
    <col width="24" customWidth="1" style="71" min="10" max="10"/>
    <col width="28" customWidth="1" style="71" min="11" max="11"/>
    <col width="18" customWidth="1" style="71" min="12" max="13"/>
    <col width="30" customWidth="1" style="71" min="14" max="14"/>
    <col width="34" customWidth="1" style="71" min="15" max="15"/>
    <col width="8" customWidth="1" style="71" min="16" max="17"/>
    <col width="12" customWidth="1" style="71" min="18" max="18"/>
    <col width="8" customWidth="1" style="71" min="19" max="19"/>
    <col width="12" customWidth="1" style="71" min="20" max="20"/>
    <col width="44" customWidth="1" style="71" min="21" max="21"/>
  </cols>
  <sheetData>
    <row r="1" ht="17.25" customHeight="1" s="72">
      <c r="A1" s="73" t="inlineStr">
        <is>
          <t>POTAL — 카테고리별 미국 온라인 쇼핑몰 마스터 파트너십 트래커</t>
        </is>
      </c>
    </row>
    <row r="2" ht="11.25" customHeight="1" s="72">
      <c r="A2" s="74" t="inlineStr">
        <is>
          <t>업데이트: 2026-03-01 | 출처: eMarketer, Oberlo, Statista, Similarweb, Adthena, DBBNWA, ecdb.com (2024-2025) | 순위 = 카테고리 내 순위 | ⟲ 보라색 = 종합몰/브랜드/글로벌 교차</t>
        </is>
      </c>
    </row>
    <row r="3" ht="11.25" customHeight="1" s="72">
      <c r="A3" s="75" t="inlineStr">
        <is>
          <t>⚠️ US 전체 시장점유율 = 미국 이커머스 $1.19T 대비 비중 | 카테고리 내 점유율 = 해당 카테고리 온라인 시장 내 % | ~ = 추정치 (매출/시장규모로 산출) | 글로벌 스토어도 US 시장점유율 반영</t>
        </is>
      </c>
    </row>
    <row r="5" ht="42" customHeight="1" s="72">
      <c r="A5" s="76" t="inlineStr">
        <is>
          <t>순위</t>
        </is>
      </c>
      <c r="B5" s="76" t="inlineStr">
        <is>
          <t>카테고리</t>
        </is>
      </c>
      <c r="C5" s="76" t="inlineStr">
        <is>
          <t>본사</t>
        </is>
      </c>
      <c r="D5" s="76" t="inlineStr">
        <is>
          <t>쇼핑몰</t>
        </is>
      </c>
      <c r="E5" s="76" t="inlineStr">
        <is>
          <t>웹사이트</t>
        </is>
      </c>
      <c r="F5" s="77" t="inlineStr">
        <is>
          <t>US 전체
이커머스
시장점유율</t>
        </is>
      </c>
      <c r="G5" s="76" t="inlineStr">
        <is>
          <t>카테고리 내
점유율 (%)</t>
        </is>
      </c>
      <c r="H5" s="76" t="inlineStr">
        <is>
          <t>월간
트래픽</t>
        </is>
      </c>
      <c r="I5" s="76" t="inlineStr">
        <is>
          <t>주요
연령층</t>
        </is>
      </c>
      <c r="J5" s="77" t="inlineStr">
        <is>
          <t>Affiliate Program</t>
        </is>
      </c>
      <c r="K5" s="77" t="inlineStr">
        <is>
          <t>Affiliate Link</t>
        </is>
      </c>
      <c r="L5" s="77" t="inlineStr">
        <is>
          <t>API Status</t>
        </is>
      </c>
      <c r="M5" s="77" t="inlineStr">
        <is>
          <t>API Type</t>
        </is>
      </c>
      <c r="N5" s="77" t="inlineStr">
        <is>
          <t>Contact Email</t>
        </is>
      </c>
      <c r="O5" s="77" t="inlineStr">
        <is>
          <t>Contact Page</t>
        </is>
      </c>
      <c r="P5" s="77" t="inlineStr">
        <is>
          <t>Priority</t>
        </is>
      </c>
      <c r="Q5" s="76" t="inlineStr">
        <is>
          <t>이메일
발송</t>
        </is>
      </c>
      <c r="R5" s="76" t="inlineStr">
        <is>
          <t>발송일</t>
        </is>
      </c>
      <c r="S5" s="76" t="inlineStr">
        <is>
          <t>응답</t>
        </is>
      </c>
      <c r="T5" s="77" t="inlineStr">
        <is>
          <t>POTAL
상태</t>
        </is>
      </c>
      <c r="U5" s="76" t="inlineStr">
        <is>
          <t>비고</t>
        </is>
      </c>
    </row>
    <row r="6" ht="27.75" customHeight="1" s="72">
      <c r="A6" s="78" t="inlineStr">
        <is>
          <t>📦 종합 쇼핑 (General) — US 온라인 시장 $1,190B  [8곳, 교차1]</t>
        </is>
      </c>
    </row>
    <row r="7" ht="21.75" customHeight="1" s="72">
      <c r="A7" s="79" t="n">
        <v>1</v>
      </c>
      <c r="B7" s="80" t="inlineStr">
        <is>
          <t>📦 종합 쇼핑 (General)</t>
        </is>
      </c>
      <c r="C7" s="79" t="inlineStr">
        <is>
          <t>US</t>
        </is>
      </c>
      <c r="D7" s="81" t="inlineStr">
        <is>
          <t>Amazon</t>
        </is>
      </c>
      <c r="E7" s="82" t="inlineStr">
        <is>
          <t>amazon.com</t>
        </is>
      </c>
      <c r="F7" s="79" t="inlineStr">
        <is>
          <t>40.4%</t>
        </is>
      </c>
      <c r="G7" s="79" t="inlineStr">
        <is>
          <t>40.4%</t>
        </is>
      </c>
      <c r="H7" s="79" t="inlineStr">
        <is>
          <t>2.7B</t>
        </is>
      </c>
      <c r="I7" s="79" t="inlineStr">
        <is>
          <t>25-54</t>
        </is>
      </c>
      <c r="J7" s="82" t="inlineStr">
        <is>
          <t>Amazon Associates</t>
        </is>
      </c>
      <c r="K7" s="83" t="inlineStr">
        <is>
          <t>affiliate-program.amazon.com</t>
        </is>
      </c>
      <c r="L7" s="84" t="inlineStr">
        <is>
          <t>✅ Active (RapidAPI)</t>
        </is>
      </c>
      <c r="M7" s="82" t="inlineStr">
        <is>
          <t>3rd Party Scraping</t>
        </is>
      </c>
      <c r="N7" s="82" t="inlineStr">
        <is>
          <t>N/A</t>
        </is>
      </c>
      <c r="O7" s="83" t="inlineStr">
        <is>
          <t>affiliate-program.amazon.com</t>
        </is>
      </c>
      <c r="P7" s="79" t="inlineStr">
        <is>
          <t>★★★</t>
        </is>
      </c>
      <c r="Q7" s="85" t="inlineStr">
        <is>
          <t>✅</t>
        </is>
      </c>
      <c r="R7" s="86" t="inlineStr">
        <is>
          <t>연동완료</t>
        </is>
      </c>
      <c r="S7" s="79" t="inlineStr">
        <is>
          <t>N/A</t>
        </is>
      </c>
      <c r="T7" s="87" t="inlineStr">
        <is>
          <t>✅ 연동됨</t>
        </is>
      </c>
      <c r="U7" s="82" t="inlineStr">
        <is>
          <t>POTAL Domestic Provider</t>
        </is>
      </c>
    </row>
    <row r="8" ht="21.75" customHeight="1" s="72">
      <c r="A8" s="79" t="n">
        <v>2</v>
      </c>
      <c r="B8" s="80" t="inlineStr">
        <is>
          <t>📦 종합 쇼핑 (General)</t>
        </is>
      </c>
      <c r="C8" s="79" t="inlineStr">
        <is>
          <t>US</t>
        </is>
      </c>
      <c r="D8" s="81" t="inlineStr">
        <is>
          <t>Walmart</t>
        </is>
      </c>
      <c r="E8" s="82" t="inlineStr">
        <is>
          <t>walmart.com</t>
        </is>
      </c>
      <c r="F8" s="79" t="inlineStr">
        <is>
          <t>6.4%</t>
        </is>
      </c>
      <c r="G8" s="79" t="inlineStr">
        <is>
          <t>6.4%</t>
        </is>
      </c>
      <c r="H8" s="79" t="inlineStr">
        <is>
          <t>503M</t>
        </is>
      </c>
      <c r="I8" s="79" t="inlineStr">
        <is>
          <t>25-54</t>
        </is>
      </c>
      <c r="J8" s="82" t="inlineStr">
        <is>
          <t>Walmart Affiliate (Impact)</t>
        </is>
      </c>
      <c r="K8" s="83" t="inlineStr">
        <is>
          <t>affiliates.walmart.com</t>
        </is>
      </c>
      <c r="L8" s="84" t="inlineStr">
        <is>
          <t>✅ Active (RapidAPI)</t>
        </is>
      </c>
      <c r="M8" s="82" t="inlineStr">
        <is>
          <t>3rd Party Scraping</t>
        </is>
      </c>
      <c r="N8" s="82" t="inlineStr">
        <is>
          <t>N/A</t>
        </is>
      </c>
      <c r="O8" s="83" t="inlineStr">
        <is>
          <t>affiliates.walmart.com</t>
        </is>
      </c>
      <c r="P8" s="79" t="inlineStr">
        <is>
          <t>★★★</t>
        </is>
      </c>
      <c r="Q8" s="85" t="inlineStr">
        <is>
          <t>✅</t>
        </is>
      </c>
      <c r="R8" s="86" t="inlineStr">
        <is>
          <t>연동완료</t>
        </is>
      </c>
      <c r="S8" s="79" t="inlineStr">
        <is>
          <t>N/A</t>
        </is>
      </c>
      <c r="T8" s="87" t="inlineStr">
        <is>
          <t>✅ 연동됨</t>
        </is>
      </c>
      <c r="U8" s="82" t="inlineStr">
        <is>
          <t>POTAL Domestic Provider</t>
        </is>
      </c>
    </row>
    <row r="9" ht="21.75" customHeight="1" s="72">
      <c r="A9" s="79" t="n">
        <v>3</v>
      </c>
      <c r="B9" s="80" t="inlineStr">
        <is>
          <t>📦 종합 쇼핑 (General)</t>
        </is>
      </c>
      <c r="C9" s="79" t="inlineStr">
        <is>
          <t>US</t>
        </is>
      </c>
      <c r="D9" s="81" t="inlineStr">
        <is>
          <t>eBay</t>
        </is>
      </c>
      <c r="E9" s="82" t="inlineStr">
        <is>
          <t>ebay.com</t>
        </is>
      </c>
      <c r="F9" s="79" t="inlineStr">
        <is>
          <t>3.0%</t>
        </is>
      </c>
      <c r="G9" s="79" t="inlineStr">
        <is>
          <t>3.0%</t>
        </is>
      </c>
      <c r="H9" s="79" t="inlineStr">
        <is>
          <t>393M</t>
        </is>
      </c>
      <c r="I9" s="79" t="inlineStr">
        <is>
          <t>25-44</t>
        </is>
      </c>
      <c r="J9" s="82" t="inlineStr">
        <is>
          <t>eBay Partner Network</t>
        </is>
      </c>
      <c r="K9" s="83" t="inlineStr">
        <is>
          <t>partnernetwork.ebay.com</t>
        </is>
      </c>
      <c r="L9" s="84" t="inlineStr">
        <is>
          <t>✅ Active (RapidAPI)</t>
        </is>
      </c>
      <c r="M9" s="82" t="inlineStr">
        <is>
          <t>Official Browse API</t>
        </is>
      </c>
      <c r="N9" s="82" t="inlineStr">
        <is>
          <t>N/A</t>
        </is>
      </c>
      <c r="O9" s="83" t="inlineStr">
        <is>
          <t>partnernetwork.ebay.com</t>
        </is>
      </c>
      <c r="P9" s="79" t="inlineStr">
        <is>
          <t>★★★</t>
        </is>
      </c>
      <c r="Q9" s="85" t="inlineStr">
        <is>
          <t>✅</t>
        </is>
      </c>
      <c r="R9" s="86" t="inlineStr">
        <is>
          <t>연동완료</t>
        </is>
      </c>
      <c r="S9" s="79" t="inlineStr">
        <is>
          <t>N/A</t>
        </is>
      </c>
      <c r="T9" s="87" t="inlineStr">
        <is>
          <t>✅ 연동됨</t>
        </is>
      </c>
      <c r="U9" s="82" t="inlineStr">
        <is>
          <t>POTAL Provider — 경매/중고 1위</t>
        </is>
      </c>
    </row>
    <row r="10" ht="21.75" customHeight="1" s="72">
      <c r="A10" s="79" t="n">
        <v>4</v>
      </c>
      <c r="B10" s="80" t="inlineStr">
        <is>
          <t>📦 종합 쇼핑 (General)</t>
        </is>
      </c>
      <c r="C10" s="79" t="inlineStr">
        <is>
          <t>US</t>
        </is>
      </c>
      <c r="D10" s="81" t="inlineStr">
        <is>
          <t>Apple</t>
        </is>
      </c>
      <c r="E10" s="82" t="inlineStr">
        <is>
          <t>apple.com</t>
        </is>
      </c>
      <c r="F10" s="79" t="inlineStr">
        <is>
          <t>3.6%</t>
        </is>
      </c>
      <c r="G10" s="79" t="inlineStr">
        <is>
          <t>3.6%</t>
        </is>
      </c>
      <c r="H10" s="79" t="inlineStr">
        <is>
          <t>467M</t>
        </is>
      </c>
      <c r="I10" s="79" t="inlineStr">
        <is>
          <t>18-54</t>
        </is>
      </c>
      <c r="J10" s="82" t="inlineStr">
        <is>
          <t>Apple Performance Partners</t>
        </is>
      </c>
      <c r="K10" s="83" t="inlineStr">
        <is>
          <t>performance-partners.apple.com</t>
        </is>
      </c>
      <c r="L10" s="80" t="inlineStr">
        <is>
          <t>없음</t>
        </is>
      </c>
      <c r="M10" s="82" t="inlineStr">
        <is>
          <t>No Public API</t>
        </is>
      </c>
      <c r="N10" s="82" t="inlineStr">
        <is>
          <t>N/A</t>
        </is>
      </c>
      <c r="O10" s="83" t="inlineStr">
        <is>
          <t>performance-partners.apple.com</t>
        </is>
      </c>
      <c r="P10" s="79" t="inlineStr">
        <is>
          <t>★★☆</t>
        </is>
      </c>
      <c r="Q10" s="88" t="inlineStr">
        <is>
          <t>⛔ 제외</t>
        </is>
      </c>
      <c r="R10" s="79" t="inlineStr">
        <is>
          <t>—</t>
        </is>
      </c>
      <c r="S10" s="79" t="inlineStr">
        <is>
          <t>—</t>
        </is>
      </c>
      <c r="T10" s="79" t="inlineStr">
        <is>
          <t>—</t>
        </is>
      </c>
      <c r="U10" s="82" t="inlineStr">
        <is>
          <t>DTC $41.7B — 어필리에이트만 가능 | 직접이메일 없음, Partnerize 포탈 신청만 가능</t>
        </is>
      </c>
    </row>
    <row r="11" ht="21.75" customHeight="1" s="72">
      <c r="A11" s="79" t="n">
        <v>5</v>
      </c>
      <c r="B11" s="80" t="inlineStr">
        <is>
          <t>📦 종합 쇼핑 (General)</t>
        </is>
      </c>
      <c r="C11" s="79" t="inlineStr">
        <is>
          <t>US</t>
        </is>
      </c>
      <c r="D11" s="81" t="inlineStr">
        <is>
          <t>Target</t>
        </is>
      </c>
      <c r="E11" s="82" t="inlineStr">
        <is>
          <t>target.com</t>
        </is>
      </c>
      <c r="F11" s="79" t="inlineStr">
        <is>
          <t>1.9%</t>
        </is>
      </c>
      <c r="G11" s="79" t="inlineStr">
        <is>
          <t>1.9%</t>
        </is>
      </c>
      <c r="H11" s="79" t="inlineStr">
        <is>
          <t>164M</t>
        </is>
      </c>
      <c r="I11" s="79" t="inlineStr">
        <is>
          <t>25-44</t>
        </is>
      </c>
      <c r="J11" s="82" t="inlineStr">
        <is>
          <t>Target Partners (Impact)</t>
        </is>
      </c>
      <c r="K11" s="83" t="inlineStr">
        <is>
          <t>partners.target.com</t>
        </is>
      </c>
      <c r="L11" s="82" t="inlineStr">
        <is>
          <t>❌ 404 Error</t>
        </is>
      </c>
      <c r="M11" s="82" t="inlineStr">
        <is>
          <t>3rd Party (Broken)</t>
        </is>
      </c>
      <c r="N11" s="82" t="inlineStr">
        <is>
          <t>partners@Targetpartnerships.com</t>
        </is>
      </c>
      <c r="O11" s="83" t="inlineStr">
        <is>
          <t>corporate.target.com/about/contact-us</t>
        </is>
      </c>
      <c r="P11" s="79" t="inlineStr">
        <is>
          <t>★★★</t>
        </is>
      </c>
      <c r="Q11" s="85" t="inlineStr">
        <is>
          <t>Sent</t>
        </is>
      </c>
      <c r="R11" s="79" t="inlineStr">
        <is>
          <t>2026-03-01</t>
        </is>
      </c>
      <c r="S11" s="86" t="inlineStr">
        <is>
          <t>대기</t>
        </is>
      </c>
      <c r="T11" s="79" t="inlineStr">
        <is>
          <t>❌ API 깨짐</t>
        </is>
      </c>
      <c r="U11" s="80" t="inlineStr">
        <is>
          <t>파트너십 이메일 발송 완료</t>
        </is>
      </c>
    </row>
    <row r="12" ht="21.75" customHeight="1" s="72">
      <c r="A12" s="79" t="n">
        <v>6</v>
      </c>
      <c r="B12" s="80" t="inlineStr">
        <is>
          <t>📦 종합 쇼핑 (General)</t>
        </is>
      </c>
      <c r="C12" s="79" t="inlineStr">
        <is>
          <t>US</t>
        </is>
      </c>
      <c r="D12" s="81" t="inlineStr">
        <is>
          <t>Costco</t>
        </is>
      </c>
      <c r="E12" s="82" t="inlineStr">
        <is>
          <t>costco.com</t>
        </is>
      </c>
      <c r="F12" s="79" t="inlineStr">
        <is>
          <t>1.5%</t>
        </is>
      </c>
      <c r="G12" s="79" t="inlineStr">
        <is>
          <t>1.5%</t>
        </is>
      </c>
      <c r="H12" s="79" t="inlineStr">
        <is>
          <t>120M</t>
        </is>
      </c>
      <c r="I12" s="79" t="inlineStr">
        <is>
          <t>35-64</t>
        </is>
      </c>
      <c r="J12" s="82" t="inlineStr">
        <is>
          <t>Costco Affiliate (CJ)</t>
        </is>
      </c>
      <c r="K12" s="83" t="inlineStr">
        <is>
          <t>cj.com</t>
        </is>
      </c>
      <c r="L12" s="80" t="inlineStr">
        <is>
          <t>없음</t>
        </is>
      </c>
      <c r="M12" s="82" t="inlineStr">
        <is>
          <t>No API</t>
        </is>
      </c>
      <c r="N12" s="82" t="inlineStr">
        <is>
          <t>isinfo@costco.com</t>
        </is>
      </c>
      <c r="O12" s="83" t="inlineStr">
        <is>
          <t>customerservice.costco.com</t>
        </is>
      </c>
      <c r="P12" s="79" t="inlineStr">
        <is>
          <t>★★☆</t>
        </is>
      </c>
      <c r="Q12" s="85" t="inlineStr">
        <is>
          <t>Sent</t>
        </is>
      </c>
      <c r="R12" s="79" t="inlineStr">
        <is>
          <t>2026-03-01</t>
        </is>
      </c>
      <c r="S12" s="86" t="inlineStr">
        <is>
          <t>대기</t>
        </is>
      </c>
      <c r="T12" s="79" t="inlineStr">
        <is>
          <t>—</t>
        </is>
      </c>
      <c r="U12" s="80" t="inlineStr">
        <is>
          <t>회원 전용, 매우 폐쇄적</t>
        </is>
      </c>
    </row>
    <row r="13" ht="21.75" customHeight="1" s="72">
      <c r="A13" s="89" t="n">
        <v>7</v>
      </c>
      <c r="B13" s="90" t="inlineStr">
        <is>
          <t>📦 종합 쇼핑 (General)</t>
        </is>
      </c>
      <c r="C13" s="89" t="inlineStr">
        <is>
          <t>CN</t>
        </is>
      </c>
      <c r="D13" s="91" t="inlineStr">
        <is>
          <t>Temu</t>
        </is>
      </c>
      <c r="E13" s="92" t="inlineStr">
        <is>
          <t>temu.com</t>
        </is>
      </c>
      <c r="F13" s="89" t="inlineStr">
        <is>
          <t>~1.3%</t>
        </is>
      </c>
      <c r="G13" s="89" t="inlineStr">
        <is>
          <t>~1.3%</t>
        </is>
      </c>
      <c r="H13" s="89" t="inlineStr">
        <is>
          <t>200M+</t>
        </is>
      </c>
      <c r="I13" s="89" t="inlineStr">
        <is>
          <t>18-34</t>
        </is>
      </c>
      <c r="J13" s="92" t="inlineStr">
        <is>
          <t>Temu Affiliate</t>
        </is>
      </c>
      <c r="K13" s="93" t="inlineStr">
        <is>
          <t>affiliate.temu.com</t>
        </is>
      </c>
      <c r="L13" s="92" t="inlineStr">
        <is>
          <t>⏳ Pending</t>
        </is>
      </c>
      <c r="M13" s="92" t="inlineStr">
        <is>
          <t>No Public API</t>
        </is>
      </c>
      <c r="N13" s="92" t="inlineStr">
        <is>
          <t>N/A</t>
        </is>
      </c>
      <c r="O13" s="93" t="inlineStr">
        <is>
          <t>affiliate.temu.com</t>
        </is>
      </c>
      <c r="P13" s="89" t="inlineStr">
        <is>
          <t>★★★</t>
        </is>
      </c>
      <c r="Q13" s="89" t="inlineStr">
        <is>
          <t>⏳</t>
        </is>
      </c>
      <c r="R13" s="89" t="inlineStr">
        <is>
          <t>—</t>
        </is>
      </c>
      <c r="S13" s="89" t="inlineStr">
        <is>
          <t>—</t>
        </is>
      </c>
      <c r="T13" s="94" t="inlineStr">
        <is>
          <t>⏳ 대기</t>
        </is>
      </c>
      <c r="U13" s="90" t="inlineStr">
        <is>
          <t>⟲ 글로벌교차 — US $17B, 디스카운트 경쟁</t>
        </is>
      </c>
    </row>
    <row r="14" ht="21.75" customHeight="1" s="72">
      <c r="A14" s="79" t="n">
        <v>8</v>
      </c>
      <c r="B14" s="80" t="inlineStr">
        <is>
          <t>📦 종합 쇼핑 (General)</t>
        </is>
      </c>
      <c r="C14" s="79" t="inlineStr">
        <is>
          <t>US</t>
        </is>
      </c>
      <c r="D14" s="81" t="inlineStr">
        <is>
          <t>Etsy</t>
        </is>
      </c>
      <c r="E14" s="82" t="inlineStr">
        <is>
          <t>etsy.com</t>
        </is>
      </c>
      <c r="F14" s="79" t="inlineStr">
        <is>
          <t>~0.5%</t>
        </is>
      </c>
      <c r="G14" s="79" t="inlineStr">
        <is>
          <t>~0.5%</t>
        </is>
      </c>
      <c r="H14" s="79" t="inlineStr">
        <is>
          <t>205M</t>
        </is>
      </c>
      <c r="I14" s="79" t="inlineStr">
        <is>
          <t>25-44</t>
        </is>
      </c>
      <c r="J14" s="82" t="inlineStr">
        <is>
          <t>Etsy Affiliate (Awin)</t>
        </is>
      </c>
      <c r="K14" s="83" t="inlineStr">
        <is>
          <t>etsy.com/affiliates</t>
        </is>
      </c>
      <c r="L14" s="84" t="inlineStr">
        <is>
          <t>Open API 있음</t>
        </is>
      </c>
      <c r="M14" s="82" t="inlineStr">
        <is>
          <t>Official API Available</t>
        </is>
      </c>
      <c r="N14" s="82" t="inlineStr">
        <is>
          <t>developers@etsy.com</t>
        </is>
      </c>
      <c r="O14" s="83" t="inlineStr">
        <is>
          <t>etsy.com/developers</t>
        </is>
      </c>
      <c r="P14" s="79" t="inlineStr">
        <is>
          <t>★★☆</t>
        </is>
      </c>
      <c r="Q14" s="88" t="inlineStr">
        <is>
          <t>Sent</t>
        </is>
      </c>
      <c r="R14" s="79" t="inlineStr">
        <is>
          <t>2026-03-01</t>
        </is>
      </c>
      <c r="S14" s="79" t="inlineStr">
        <is>
          <t>—</t>
        </is>
      </c>
      <c r="T14" s="79" t="inlineStr">
        <is>
          <t>—</t>
        </is>
      </c>
      <c r="U14" s="82" t="inlineStr">
        <is>
          <t>Open API — 핸드메이드 특화</t>
        </is>
      </c>
    </row>
    <row r="15" ht="27.75" customHeight="1" s="72">
      <c r="A15" s="95" t="inlineStr">
        <is>
          <t>💻 전자제품 / 가전 (Electronics) — US 온라인 시장 $120B  [7곳, 교차3]</t>
        </is>
      </c>
    </row>
    <row r="16" ht="21.75" customHeight="1" s="72">
      <c r="A16" s="79" t="n">
        <v>1</v>
      </c>
      <c r="B16" s="80" t="inlineStr">
        <is>
          <t>💻 전자제품 / 가전 (Electronics)</t>
        </is>
      </c>
      <c r="C16" s="79" t="inlineStr">
        <is>
          <t>US</t>
        </is>
      </c>
      <c r="D16" s="81" t="inlineStr">
        <is>
          <t>Best Buy</t>
        </is>
      </c>
      <c r="E16" s="82" t="inlineStr">
        <is>
          <t>bestbuy.com</t>
        </is>
      </c>
      <c r="F16" s="79" t="inlineStr">
        <is>
          <t>1.4%</t>
        </is>
      </c>
      <c r="G16" s="79" t="inlineStr">
        <is>
          <t>31.8%</t>
        </is>
      </c>
      <c r="H16" s="79" t="inlineStr">
        <is>
          <t>133M</t>
        </is>
      </c>
      <c r="I16" s="79" t="inlineStr">
        <is>
          <t>25-54</t>
        </is>
      </c>
      <c r="J16" s="82" t="inlineStr">
        <is>
          <t>Best Buy Affiliate (Impact)</t>
        </is>
      </c>
      <c r="K16" s="83" t="inlineStr">
        <is>
          <t>bestbuy.com/partnerships</t>
        </is>
      </c>
      <c r="L16" s="84" t="inlineStr">
        <is>
          <t>Free Public API</t>
        </is>
      </c>
      <c r="M16" s="82" t="inlineStr">
        <is>
          <t>Official REST API</t>
        </is>
      </c>
      <c r="N16" s="82" t="inlineStr">
        <is>
          <t>developer@bestbuy.com</t>
        </is>
      </c>
      <c r="O16" s="83" t="inlineStr">
        <is>
          <t>developer.bestbuy.com</t>
        </is>
      </c>
      <c r="P16" s="79" t="inlineStr">
        <is>
          <t>★★★</t>
        </is>
      </c>
      <c r="Q16" s="85" t="inlineStr">
        <is>
          <t>Sent</t>
        </is>
      </c>
      <c r="R16" s="79" t="inlineStr">
        <is>
          <t>2026-03-01</t>
        </is>
      </c>
      <c r="S16" s="86" t="inlineStr">
        <is>
          <t>대기</t>
        </is>
      </c>
      <c r="T16" s="96" t="inlineStr">
        <is>
          <t>🔄 코드완성</t>
        </is>
      </c>
      <c r="U16" s="82" t="inlineStr">
        <is>
          <t>CE 지출 1위 — API 키 대기</t>
        </is>
      </c>
    </row>
    <row r="17" ht="21.75" customHeight="1" s="72">
      <c r="A17" s="89" t="n">
        <v>2</v>
      </c>
      <c r="B17" s="90" t="inlineStr">
        <is>
          <t>💻 전자제품 / 가전 (Electronics)</t>
        </is>
      </c>
      <c r="C17" s="89" t="inlineStr">
        <is>
          <t>US</t>
        </is>
      </c>
      <c r="D17" s="91" t="inlineStr">
        <is>
          <t>Amazon</t>
        </is>
      </c>
      <c r="E17" s="92" t="inlineStr">
        <is>
          <t>amazon.com</t>
        </is>
      </c>
      <c r="F17" s="89" t="inlineStr">
        <is>
          <t>40.4%</t>
        </is>
      </c>
      <c r="G17" s="89" t="inlineStr">
        <is>
          <t>30.3%</t>
        </is>
      </c>
      <c r="H17" s="89" t="inlineStr">
        <is>
          <t>2.7B</t>
        </is>
      </c>
      <c r="I17" s="89" t="inlineStr">
        <is>
          <t>25-54</t>
        </is>
      </c>
      <c r="J17" s="92" t="inlineStr">
        <is>
          <t>Amazon Associates</t>
        </is>
      </c>
      <c r="K17" s="93" t="inlineStr">
        <is>
          <t>affiliate-program.amazon.com</t>
        </is>
      </c>
      <c r="L17" s="97" t="inlineStr">
        <is>
          <t>✅ Active (RapidAPI)</t>
        </is>
      </c>
      <c r="M17" s="92" t="inlineStr">
        <is>
          <t>3rd Party Scraping</t>
        </is>
      </c>
      <c r="N17" s="92" t="inlineStr">
        <is>
          <t>N/A</t>
        </is>
      </c>
      <c r="O17" s="93" t="inlineStr">
        <is>
          <t>affiliate-program.amazon.com</t>
        </is>
      </c>
      <c r="P17" s="89" t="inlineStr">
        <is>
          <t>★★★</t>
        </is>
      </c>
      <c r="Q17" s="89" t="inlineStr">
        <is>
          <t>✅</t>
        </is>
      </c>
      <c r="R17" s="94" t="inlineStr">
        <is>
          <t>연동완료</t>
        </is>
      </c>
      <c r="S17" s="89" t="inlineStr">
        <is>
          <t>N/A</t>
        </is>
      </c>
      <c r="T17" s="94" t="inlineStr">
        <is>
          <t>✅ 연동됨</t>
        </is>
      </c>
      <c r="U17" s="90" t="inlineStr">
        <is>
          <t>⟲ 교차 — CE 지출 2위 ($37B+)</t>
        </is>
      </c>
    </row>
    <row r="18" ht="21.75" customHeight="1" s="72">
      <c r="A18" s="89" t="n">
        <v>3</v>
      </c>
      <c r="B18" s="90" t="inlineStr">
        <is>
          <t>💻 전자제품 / 가전 (Electronics)</t>
        </is>
      </c>
      <c r="C18" s="89" t="inlineStr">
        <is>
          <t>US</t>
        </is>
      </c>
      <c r="D18" s="91" t="inlineStr">
        <is>
          <t>Apple</t>
        </is>
      </c>
      <c r="E18" s="92" t="inlineStr">
        <is>
          <t>apple.com</t>
        </is>
      </c>
      <c r="F18" s="89" t="inlineStr">
        <is>
          <t>3.6%</t>
        </is>
      </c>
      <c r="G18" s="89" t="inlineStr">
        <is>
          <t>~20%</t>
        </is>
      </c>
      <c r="H18" s="89" t="inlineStr">
        <is>
          <t>467M</t>
        </is>
      </c>
      <c r="I18" s="89" t="inlineStr">
        <is>
          <t>18-54</t>
        </is>
      </c>
      <c r="J18" s="92" t="inlineStr">
        <is>
          <t>Apple Performance Partners</t>
        </is>
      </c>
      <c r="K18" s="93" t="inlineStr">
        <is>
          <t>performance-partners.apple.com</t>
        </is>
      </c>
      <c r="L18" s="90" t="inlineStr">
        <is>
          <t>없음</t>
        </is>
      </c>
      <c r="M18" s="92" t="inlineStr">
        <is>
          <t>No Public API</t>
        </is>
      </c>
      <c r="N18" s="92" t="inlineStr">
        <is>
          <t>N/A</t>
        </is>
      </c>
      <c r="O18" s="93" t="inlineStr">
        <is>
          <t>performance-partners.apple.com</t>
        </is>
      </c>
      <c r="P18" s="89" t="inlineStr">
        <is>
          <t>★★☆</t>
        </is>
      </c>
      <c r="Q18" s="89" t="inlineStr">
        <is>
          <t>⛔ 제외</t>
        </is>
      </c>
      <c r="R18" s="89" t="inlineStr">
        <is>
          <t>—</t>
        </is>
      </c>
      <c r="S18" s="89" t="inlineStr">
        <is>
          <t>—</t>
        </is>
      </c>
      <c r="T18" s="89" t="inlineStr">
        <is>
          <t>—</t>
        </is>
      </c>
      <c r="U18" s="90" t="inlineStr">
        <is>
          <t>⟲ 교차 — DTC $41.7B, 자체 생태계 | 직접이메일 없음, Partnerize 포탈 신청만 가능</t>
        </is>
      </c>
    </row>
    <row r="19" ht="21.75" customHeight="1" s="72">
      <c r="A19" s="89" t="n">
        <v>4</v>
      </c>
      <c r="B19" s="90" t="inlineStr">
        <is>
          <t>💻 전자제품 / 가전 (Electronics)</t>
        </is>
      </c>
      <c r="C19" s="89" t="inlineStr">
        <is>
          <t>US</t>
        </is>
      </c>
      <c r="D19" s="91" t="inlineStr">
        <is>
          <t>Walmart</t>
        </is>
      </c>
      <c r="E19" s="92" t="inlineStr">
        <is>
          <t>walmart.com</t>
        </is>
      </c>
      <c r="F19" s="89" t="inlineStr">
        <is>
          <t>6.4%</t>
        </is>
      </c>
      <c r="G19" s="89" t="inlineStr">
        <is>
          <t>13.1%</t>
        </is>
      </c>
      <c r="H19" s="89" t="inlineStr">
        <is>
          <t>503M</t>
        </is>
      </c>
      <c r="I19" s="89" t="inlineStr">
        <is>
          <t>25-54</t>
        </is>
      </c>
      <c r="J19" s="92" t="inlineStr">
        <is>
          <t>Walmart Affiliate (Impact)</t>
        </is>
      </c>
      <c r="K19" s="93" t="inlineStr">
        <is>
          <t>affiliates.walmart.com</t>
        </is>
      </c>
      <c r="L19" s="97" t="inlineStr">
        <is>
          <t>✅ Active (RapidAPI)</t>
        </is>
      </c>
      <c r="M19" s="92" t="inlineStr">
        <is>
          <t>3rd Party Scraping</t>
        </is>
      </c>
      <c r="N19" s="92" t="inlineStr">
        <is>
          <t>N/A</t>
        </is>
      </c>
      <c r="O19" s="93" t="inlineStr">
        <is>
          <t>affiliates.walmart.com</t>
        </is>
      </c>
      <c r="P19" s="89" t="inlineStr">
        <is>
          <t>★★★</t>
        </is>
      </c>
      <c r="Q19" s="89" t="inlineStr">
        <is>
          <t>✅</t>
        </is>
      </c>
      <c r="R19" s="94" t="inlineStr">
        <is>
          <t>연동완료</t>
        </is>
      </c>
      <c r="S19" s="89" t="inlineStr">
        <is>
          <t>N/A</t>
        </is>
      </c>
      <c r="T19" s="94" t="inlineStr">
        <is>
          <t>✅ 연동됨</t>
        </is>
      </c>
      <c r="U19" s="90" t="inlineStr">
        <is>
          <t>⟲ 교차 — CE 지출 3위</t>
        </is>
      </c>
    </row>
    <row r="20" ht="21.75" customHeight="1" s="72">
      <c r="A20" s="79" t="n">
        <v>5</v>
      </c>
      <c r="B20" s="80" t="inlineStr">
        <is>
          <t>💻 전자제품 / 가전 (Electronics)</t>
        </is>
      </c>
      <c r="C20" s="79" t="inlineStr">
        <is>
          <t>KR</t>
        </is>
      </c>
      <c r="D20" s="81" t="inlineStr">
        <is>
          <t>Samsung</t>
        </is>
      </c>
      <c r="E20" s="82" t="inlineStr">
        <is>
          <t>samsung.com</t>
        </is>
      </c>
      <c r="F20" s="79" t="inlineStr">
        <is>
          <t>~0.3%</t>
        </is>
      </c>
      <c r="G20" s="79" t="inlineStr">
        <is>
          <t>~3.4%</t>
        </is>
      </c>
      <c r="H20" s="79" t="inlineStr">
        <is>
          <t>80M</t>
        </is>
      </c>
      <c r="I20" s="79" t="inlineStr">
        <is>
          <t>25-54</t>
        </is>
      </c>
      <c r="J20" s="82" t="inlineStr">
        <is>
          <t>Samsung Affiliate</t>
        </is>
      </c>
      <c r="K20" s="83" t="inlineStr">
        <is>
          <t>samsung.com/affiliate</t>
        </is>
      </c>
      <c r="L20" s="80" t="inlineStr">
        <is>
          <t>없음</t>
        </is>
      </c>
      <c r="M20" s="82" t="inlineStr">
        <is>
          <t>No Public API</t>
        </is>
      </c>
      <c r="N20" s="82" t="inlineStr">
        <is>
          <t>N/A</t>
        </is>
      </c>
      <c r="O20" s="83" t="inlineStr">
        <is>
          <t>samsung.com/us/support/contact</t>
        </is>
      </c>
      <c r="P20" s="79" t="inlineStr">
        <is>
          <t>★☆☆</t>
        </is>
      </c>
      <c r="Q20" s="88" t="inlineStr">
        <is>
          <t>⛔ 제외</t>
        </is>
      </c>
      <c r="R20" s="79" t="inlineStr">
        <is>
          <t>—</t>
        </is>
      </c>
      <c r="S20" s="79" t="inlineStr">
        <is>
          <t>—</t>
        </is>
      </c>
      <c r="T20" s="79" t="inlineStr">
        <is>
          <t>—</t>
        </is>
      </c>
      <c r="U20" s="82" t="inlineStr">
        <is>
          <t>DTC $4.8B — 독점 가격/번들 | 직접이메일 없음, 전화만 (866) 726-4249</t>
        </is>
      </c>
    </row>
    <row r="21" ht="21.75" customHeight="1" s="72">
      <c r="A21" s="79" t="n">
        <v>6</v>
      </c>
      <c r="B21" s="80" t="inlineStr">
        <is>
          <t>💻 전자제품 / 가전 (Electronics)</t>
        </is>
      </c>
      <c r="C21" s="79" t="inlineStr">
        <is>
          <t>US</t>
        </is>
      </c>
      <c r="D21" s="81" t="inlineStr">
        <is>
          <t>Newegg</t>
        </is>
      </c>
      <c r="E21" s="82" t="inlineStr">
        <is>
          <t>newegg.com</t>
        </is>
      </c>
      <c r="F21" s="79" t="inlineStr">
        <is>
          <t>&lt;0.5%</t>
        </is>
      </c>
      <c r="G21" s="79" t="inlineStr">
        <is>
          <t>~0.8%</t>
        </is>
      </c>
      <c r="H21" s="79" t="inlineStr">
        <is>
          <t>30M</t>
        </is>
      </c>
      <c r="I21" s="79" t="inlineStr">
        <is>
          <t>18-34</t>
        </is>
      </c>
      <c r="J21" s="82" t="inlineStr">
        <is>
          <t>Newegg Affiliate (CJ)</t>
        </is>
      </c>
      <c r="K21" s="83" t="inlineStr">
        <is>
          <t>newegg.com/sellers</t>
        </is>
      </c>
      <c r="L21" s="80" t="inlineStr">
        <is>
          <t>없음</t>
        </is>
      </c>
      <c r="M21" s="82" t="inlineStr">
        <is>
          <t>No Public API</t>
        </is>
      </c>
      <c r="N21" s="82" t="inlineStr">
        <is>
          <t>Partnerservices@newegg.com</t>
        </is>
      </c>
      <c r="O21" s="83" t="inlineStr">
        <is>
          <t>newegg.com/sellers/?name=Affiliate-Program</t>
        </is>
      </c>
      <c r="P21" s="79" t="inlineStr">
        <is>
          <t>★★☆</t>
        </is>
      </c>
      <c r="Q21" s="85" t="inlineStr">
        <is>
          <t>Sent</t>
        </is>
      </c>
      <c r="R21" s="79" t="inlineStr">
        <is>
          <t>2026-03-01</t>
        </is>
      </c>
      <c r="S21" s="86" t="inlineStr">
        <is>
          <t>대기</t>
        </is>
      </c>
      <c r="T21" s="79" t="inlineStr">
        <is>
          <t>—</t>
        </is>
      </c>
      <c r="U21" s="82" t="inlineStr">
        <is>
          <t>PC/게이밍 전문</t>
        </is>
      </c>
    </row>
    <row r="22" ht="21.75" customHeight="1" s="72">
      <c r="A22" s="79" t="n">
        <v>7</v>
      </c>
      <c r="B22" s="80" t="inlineStr">
        <is>
          <t>💻 전자제품 / 가전 (Electronics)</t>
        </is>
      </c>
      <c r="C22" s="79" t="inlineStr">
        <is>
          <t>US</t>
        </is>
      </c>
      <c r="D22" s="81" t="inlineStr">
        <is>
          <t>B&amp;H Photo</t>
        </is>
      </c>
      <c r="E22" s="82" t="inlineStr">
        <is>
          <t>bhphotovideo.com</t>
        </is>
      </c>
      <c r="F22" s="79" t="inlineStr">
        <is>
          <t>&lt;0.1%</t>
        </is>
      </c>
      <c r="G22" s="79" t="inlineStr">
        <is>
          <t>~0.7%</t>
        </is>
      </c>
      <c r="H22" s="79" t="inlineStr">
        <is>
          <t>18M</t>
        </is>
      </c>
      <c r="I22" s="79" t="inlineStr">
        <is>
          <t>25-54</t>
        </is>
      </c>
      <c r="J22" s="82" t="inlineStr">
        <is>
          <t>B&amp;H Affiliate</t>
        </is>
      </c>
      <c r="K22" s="83" t="inlineStr">
        <is>
          <t>bhphotovideo.com/affiliate</t>
        </is>
      </c>
      <c r="L22" s="80" t="inlineStr">
        <is>
          <t>없음</t>
        </is>
      </c>
      <c r="M22" s="82" t="inlineStr">
        <is>
          <t>No Public API</t>
        </is>
      </c>
      <c r="N22" s="82" t="inlineStr">
        <is>
          <t>info@bhphoto.com</t>
        </is>
      </c>
      <c r="O22" s="83" t="inlineStr">
        <is>
          <t>bhphotovideo.com/find/HelpCenter</t>
        </is>
      </c>
      <c r="P22" s="79" t="inlineStr">
        <is>
          <t>★★☆</t>
        </is>
      </c>
      <c r="Q22" s="88" t="inlineStr">
        <is>
          <t>Sent</t>
        </is>
      </c>
      <c r="R22" s="79" t="inlineStr">
        <is>
          <t>2026-03-01</t>
        </is>
      </c>
      <c r="S22" s="79" t="inlineStr">
        <is>
          <t>—</t>
        </is>
      </c>
      <c r="T22" s="79" t="inlineStr">
        <is>
          <t>—</t>
        </is>
      </c>
      <c r="U22" s="80" t="inlineStr">
        <is>
          <t>카메라/영상 전문 $875M</t>
        </is>
      </c>
    </row>
    <row r="23" ht="27.75" customHeight="1" s="72">
      <c r="A23" s="98" t="inlineStr">
        <is>
          <t>👗 패션 / 의류 / 신발 (Fashion) — US 온라인 시장 $159.4B  [12곳, 교차5]</t>
        </is>
      </c>
    </row>
    <row r="24" ht="21.75" customHeight="1" s="72">
      <c r="A24" s="89" t="n">
        <v>1</v>
      </c>
      <c r="B24" s="90" t="inlineStr">
        <is>
          <t>👗 패션 / 의류 / 신발 (Fashion)</t>
        </is>
      </c>
      <c r="C24" s="89" t="inlineStr">
        <is>
          <t>US</t>
        </is>
      </c>
      <c r="D24" s="91" t="inlineStr">
        <is>
          <t>Amazon</t>
        </is>
      </c>
      <c r="E24" s="92" t="inlineStr">
        <is>
          <t>amazon.com</t>
        </is>
      </c>
      <c r="F24" s="89" t="inlineStr">
        <is>
          <t>40.4%</t>
        </is>
      </c>
      <c r="G24" s="89" t="inlineStr">
        <is>
          <t>21.8%</t>
        </is>
      </c>
      <c r="H24" s="89" t="inlineStr">
        <is>
          <t>2.7B</t>
        </is>
      </c>
      <c r="I24" s="89" t="inlineStr">
        <is>
          <t>25-54</t>
        </is>
      </c>
      <c r="J24" s="92" t="inlineStr">
        <is>
          <t>Amazon Associates</t>
        </is>
      </c>
      <c r="K24" s="93" t="inlineStr">
        <is>
          <t>affiliate-program.amazon.com</t>
        </is>
      </c>
      <c r="L24" s="97" t="inlineStr">
        <is>
          <t>✅ Active (RapidAPI)</t>
        </is>
      </c>
      <c r="M24" s="92" t="inlineStr">
        <is>
          <t>3rd Party Scraping</t>
        </is>
      </c>
      <c r="N24" s="92" t="inlineStr">
        <is>
          <t>N/A</t>
        </is>
      </c>
      <c r="O24" s="93" t="inlineStr">
        <is>
          <t>affiliate-program.amazon.com</t>
        </is>
      </c>
      <c r="P24" s="89" t="inlineStr">
        <is>
          <t>★★★</t>
        </is>
      </c>
      <c r="Q24" s="89" t="inlineStr">
        <is>
          <t>✅</t>
        </is>
      </c>
      <c r="R24" s="94" t="inlineStr">
        <is>
          <t>연동완료</t>
        </is>
      </c>
      <c r="S24" s="89" t="inlineStr">
        <is>
          <t>N/A</t>
        </is>
      </c>
      <c r="T24" s="94" t="inlineStr">
        <is>
          <t>✅ 연동됨</t>
        </is>
      </c>
      <c r="U24" s="90" t="inlineStr">
        <is>
          <t>⟲ 교차 — 패션 이커머스 $34.7B</t>
        </is>
      </c>
    </row>
    <row r="25" ht="21.75" customHeight="1" s="72">
      <c r="A25" s="89" t="n">
        <v>2</v>
      </c>
      <c r="B25" s="90" t="inlineStr">
        <is>
          <t>👗 패션 / 의류 / 신발 (Fashion)</t>
        </is>
      </c>
      <c r="C25" s="89" t="inlineStr">
        <is>
          <t>US</t>
        </is>
      </c>
      <c r="D25" s="91" t="inlineStr">
        <is>
          <t>Walmart</t>
        </is>
      </c>
      <c r="E25" s="92" t="inlineStr">
        <is>
          <t>walmart.com</t>
        </is>
      </c>
      <c r="F25" s="89" t="inlineStr">
        <is>
          <t>6.4%</t>
        </is>
      </c>
      <c r="G25" s="89" t="inlineStr">
        <is>
          <t>5.6%</t>
        </is>
      </c>
      <c r="H25" s="89" t="inlineStr">
        <is>
          <t>503M</t>
        </is>
      </c>
      <c r="I25" s="89" t="inlineStr">
        <is>
          <t>25-54</t>
        </is>
      </c>
      <c r="J25" s="92" t="inlineStr">
        <is>
          <t>Walmart Affiliate (Impact)</t>
        </is>
      </c>
      <c r="K25" s="93" t="inlineStr">
        <is>
          <t>affiliates.walmart.com</t>
        </is>
      </c>
      <c r="L25" s="97" t="inlineStr">
        <is>
          <t>✅ Active (RapidAPI)</t>
        </is>
      </c>
      <c r="M25" s="92" t="inlineStr">
        <is>
          <t>3rd Party Scraping</t>
        </is>
      </c>
      <c r="N25" s="92" t="inlineStr">
        <is>
          <t>N/A</t>
        </is>
      </c>
      <c r="O25" s="93" t="inlineStr">
        <is>
          <t>affiliates.walmart.com</t>
        </is>
      </c>
      <c r="P25" s="89" t="inlineStr">
        <is>
          <t>★★★</t>
        </is>
      </c>
      <c r="Q25" s="89" t="inlineStr">
        <is>
          <t>✅</t>
        </is>
      </c>
      <c r="R25" s="94" t="inlineStr">
        <is>
          <t>연동완료</t>
        </is>
      </c>
      <c r="S25" s="89" t="inlineStr">
        <is>
          <t>N/A</t>
        </is>
      </c>
      <c r="T25" s="94" t="inlineStr">
        <is>
          <t>✅ 연동됨</t>
        </is>
      </c>
      <c r="U25" s="90" t="inlineStr">
        <is>
          <t>⟲ 교차 — 의류 $8.9B</t>
        </is>
      </c>
    </row>
    <row r="26" ht="21.75" customHeight="1" s="72">
      <c r="A26" s="89" t="n">
        <v>3</v>
      </c>
      <c r="B26" s="90" t="inlineStr">
        <is>
          <t>👗 패션 / 의류 / 신발 (Fashion)</t>
        </is>
      </c>
      <c r="C26" s="89" t="inlineStr">
        <is>
          <t>CN</t>
        </is>
      </c>
      <c r="D26" s="91" t="inlineStr">
        <is>
          <t>Shein</t>
        </is>
      </c>
      <c r="E26" s="92" t="inlineStr">
        <is>
          <t>shein.com</t>
        </is>
      </c>
      <c r="F26" s="89" t="inlineStr">
        <is>
          <t>~1.0%</t>
        </is>
      </c>
      <c r="G26" s="89" t="inlineStr">
        <is>
          <t>~5.1%</t>
        </is>
      </c>
      <c r="H26" s="89" t="inlineStr">
        <is>
          <t>71M</t>
        </is>
      </c>
      <c r="I26" s="89" t="inlineStr">
        <is>
          <t>16-34</t>
        </is>
      </c>
      <c r="J26" s="92" t="inlineStr">
        <is>
          <t>Shein Affiliate (CJ)</t>
        </is>
      </c>
      <c r="K26" s="93" t="inlineStr">
        <is>
          <t>cj.com</t>
        </is>
      </c>
      <c r="L26" s="92" t="inlineStr">
        <is>
          <t>❌ Server Down</t>
        </is>
      </c>
      <c r="M26" s="92" t="inlineStr">
        <is>
          <t>RapidAPI (Down)</t>
        </is>
      </c>
      <c r="N26" s="92" t="inlineStr">
        <is>
          <t>N/A</t>
        </is>
      </c>
      <c r="O26" s="93" t="inlineStr">
        <is>
          <t>shein.com/contact-us</t>
        </is>
      </c>
      <c r="P26" s="89" t="inlineStr">
        <is>
          <t>★★☆</t>
        </is>
      </c>
      <c r="Q26" s="89" t="inlineStr">
        <is>
          <t>❌</t>
        </is>
      </c>
      <c r="R26" s="89" t="inlineStr">
        <is>
          <t>—</t>
        </is>
      </c>
      <c r="S26" s="89" t="inlineStr">
        <is>
          <t>—</t>
        </is>
      </c>
      <c r="T26" s="94" t="inlineStr">
        <is>
          <t>❌ 서버 다운</t>
        </is>
      </c>
      <c r="U26" s="90" t="inlineStr">
        <is>
          <t>⟲ 글로벌교차 — US 패스트패션 50%, $11.4B DTC</t>
        </is>
      </c>
    </row>
    <row r="27" ht="21.75" customHeight="1" s="72">
      <c r="A27" s="79" t="n">
        <v>4</v>
      </c>
      <c r="B27" s="80" t="inlineStr">
        <is>
          <t>👗 패션 / 의류 / 신발 (Fashion)</t>
        </is>
      </c>
      <c r="C27" s="79" t="inlineStr">
        <is>
          <t>US</t>
        </is>
      </c>
      <c r="D27" s="81" t="inlineStr">
        <is>
          <t>Nike</t>
        </is>
      </c>
      <c r="E27" s="82" t="inlineStr">
        <is>
          <t>nike.com</t>
        </is>
      </c>
      <c r="F27" s="79" t="inlineStr">
        <is>
          <t>~0.5%</t>
        </is>
      </c>
      <c r="G27" s="79" t="inlineStr">
        <is>
          <t>3.0%</t>
        </is>
      </c>
      <c r="H27" s="79" t="inlineStr">
        <is>
          <t>90M</t>
        </is>
      </c>
      <c r="I27" s="79" t="inlineStr">
        <is>
          <t>18-34</t>
        </is>
      </c>
      <c r="J27" s="82" t="inlineStr">
        <is>
          <t>Nike Affiliate (Awin)</t>
        </is>
      </c>
      <c r="K27" s="83" t="inlineStr">
        <is>
          <t>awin.com</t>
        </is>
      </c>
      <c r="L27" s="80" t="inlineStr">
        <is>
          <t>없음</t>
        </is>
      </c>
      <c r="M27" s="82" t="inlineStr">
        <is>
          <t>No Public API</t>
        </is>
      </c>
      <c r="N27" s="82" t="inlineStr">
        <is>
          <t>N/A</t>
        </is>
      </c>
      <c r="O27" s="83" t="inlineStr">
        <is>
          <t>nike.com/help/a/partner</t>
        </is>
      </c>
      <c r="P27" s="79" t="inlineStr">
        <is>
          <t>★★☆</t>
        </is>
      </c>
      <c r="Q27" s="88" t="inlineStr">
        <is>
          <t>⬜ Affiliate 경유</t>
        </is>
      </c>
      <c r="R27" s="79" t="inlineStr">
        <is>
          <t>—</t>
        </is>
      </c>
      <c r="S27" s="79" t="inlineStr">
        <is>
          <t>—</t>
        </is>
      </c>
      <c r="T27" s="79" t="inlineStr">
        <is>
          <t>—</t>
        </is>
      </c>
      <c r="U27" s="82" t="inlineStr">
        <is>
          <t>DTC $4.72B — 독점 컬러웨이 자사몰 | CJ/Rakuten 경유만 가능, 직접이메일 없음</t>
        </is>
      </c>
    </row>
    <row r="28" ht="21.75" customHeight="1" s="72">
      <c r="A28" s="79" t="n">
        <v>5</v>
      </c>
      <c r="B28" s="80" t="inlineStr">
        <is>
          <t>👗 패션 / 의류 / 신발 (Fashion)</t>
        </is>
      </c>
      <c r="C28" s="79" t="inlineStr">
        <is>
          <t>US</t>
        </is>
      </c>
      <c r="D28" s="81" t="inlineStr">
        <is>
          <t>Macy's</t>
        </is>
      </c>
      <c r="E28" s="82" t="inlineStr">
        <is>
          <t>macys.com</t>
        </is>
      </c>
      <c r="F28" s="79" t="inlineStr">
        <is>
          <t>~0.8%</t>
        </is>
      </c>
      <c r="G28" s="79" t="inlineStr">
        <is>
          <t>3.9%</t>
        </is>
      </c>
      <c r="H28" s="79" t="inlineStr">
        <is>
          <t>102M</t>
        </is>
      </c>
      <c r="I28" s="79" t="inlineStr">
        <is>
          <t>35-64</t>
        </is>
      </c>
      <c r="J28" s="82" t="inlineStr">
        <is>
          <t>Macy's Affiliate (CJ/Impact)</t>
        </is>
      </c>
      <c r="K28" s="83" t="inlineStr">
        <is>
          <t>macys.com/ce/affiliates</t>
        </is>
      </c>
      <c r="L28" s="80" t="inlineStr">
        <is>
          <t>없음</t>
        </is>
      </c>
      <c r="M28" s="82" t="inlineStr">
        <is>
          <t>No Public API</t>
        </is>
      </c>
      <c r="N28" s="82" t="inlineStr">
        <is>
          <t>communications@macys.com</t>
        </is>
      </c>
      <c r="O28" s="83" t="inlineStr">
        <is>
          <t>macysinc.com/contacts</t>
        </is>
      </c>
      <c r="P28" s="79" t="inlineStr">
        <is>
          <t>★★☆</t>
        </is>
      </c>
      <c r="Q28" s="85" t="inlineStr">
        <is>
          <t>✅</t>
        </is>
      </c>
      <c r="R28" s="79" t="inlineStr">
        <is>
          <t>2026-03-01</t>
        </is>
      </c>
      <c r="S28" s="86" t="inlineStr">
        <is>
          <t>대기</t>
        </is>
      </c>
      <c r="T28" s="79" t="inlineStr">
        <is>
          <t>—</t>
        </is>
      </c>
      <c r="U28" s="80" t="inlineStr">
        <is>
          <t>백화점 온라인 1위 $6.29B</t>
        </is>
      </c>
    </row>
    <row r="29" ht="21.75" customHeight="1" s="72">
      <c r="A29" s="79" t="n">
        <v>6</v>
      </c>
      <c r="B29" s="80" t="inlineStr">
        <is>
          <t>👗 패션 / 의류 / 신발 (Fashion)</t>
        </is>
      </c>
      <c r="C29" s="79" t="inlineStr">
        <is>
          <t>US</t>
        </is>
      </c>
      <c r="D29" s="81" t="inlineStr">
        <is>
          <t>Nordstrom</t>
        </is>
      </c>
      <c r="E29" s="82" t="inlineStr">
        <is>
          <t>nordstrom.com</t>
        </is>
      </c>
      <c r="F29" s="79" t="inlineStr">
        <is>
          <t>~0.4%</t>
        </is>
      </c>
      <c r="G29" s="79" t="inlineStr">
        <is>
          <t>1.7%</t>
        </is>
      </c>
      <c r="H29" s="79" t="inlineStr">
        <is>
          <t>55M</t>
        </is>
      </c>
      <c r="I29" s="79" t="inlineStr">
        <is>
          <t>25-54</t>
        </is>
      </c>
      <c r="J29" s="82" t="inlineStr">
        <is>
          <t>Nordstrom Affiliate (Rakuten)</t>
        </is>
      </c>
      <c r="K29" s="83" t="inlineStr">
        <is>
          <t>rakutenadvertising.com</t>
        </is>
      </c>
      <c r="L29" s="80" t="inlineStr">
        <is>
          <t>없음</t>
        </is>
      </c>
      <c r="M29" s="82" t="inlineStr">
        <is>
          <t>No Public API</t>
        </is>
      </c>
      <c r="N29" s="82" t="inlineStr">
        <is>
          <t>NordstromPR@Nordstrom.com</t>
        </is>
      </c>
      <c r="O29" s="83" t="inlineStr">
        <is>
          <t>press.nordstrom.com/contact-us</t>
        </is>
      </c>
      <c r="P29" s="79" t="inlineStr">
        <is>
          <t>★★☆</t>
        </is>
      </c>
      <c r="Q29" s="85" t="inlineStr">
        <is>
          <t>✅</t>
        </is>
      </c>
      <c r="R29" s="79" t="inlineStr">
        <is>
          <t>2026-03-01</t>
        </is>
      </c>
      <c r="S29" s="86" t="inlineStr">
        <is>
          <t>대기</t>
        </is>
      </c>
      <c r="T29" s="79" t="inlineStr">
        <is>
          <t>—</t>
        </is>
      </c>
      <c r="U29" s="80" t="inlineStr">
        <is>
          <t>프리미엄 백화점 $2.7B</t>
        </is>
      </c>
    </row>
    <row r="30" ht="21.75" customHeight="1" s="72">
      <c r="A30" s="89" t="n">
        <v>7</v>
      </c>
      <c r="B30" s="90" t="inlineStr">
        <is>
          <t>👗 패션 / 의류 / 신발 (Fashion)</t>
        </is>
      </c>
      <c r="C30" s="89" t="inlineStr">
        <is>
          <t>SE</t>
        </is>
      </c>
      <c r="D30" s="91" t="inlineStr">
        <is>
          <t>H&amp;M</t>
        </is>
      </c>
      <c r="E30" s="92" t="inlineStr">
        <is>
          <t>hm.com</t>
        </is>
      </c>
      <c r="F30" s="89" t="inlineStr">
        <is>
          <t>~0.2%</t>
        </is>
      </c>
      <c r="G30" s="89" t="inlineStr">
        <is>
          <t>~1.4%</t>
        </is>
      </c>
      <c r="H30" s="89" t="inlineStr">
        <is>
          <t>96M</t>
        </is>
      </c>
      <c r="I30" s="89" t="inlineStr">
        <is>
          <t>18-34</t>
        </is>
      </c>
      <c r="J30" s="92" t="inlineStr">
        <is>
          <t>H&amp;M Affiliate (Awin)</t>
        </is>
      </c>
      <c r="K30" s="93" t="inlineStr">
        <is>
          <t>awin.com</t>
        </is>
      </c>
      <c r="L30" s="90" t="inlineStr">
        <is>
          <t>없음</t>
        </is>
      </c>
      <c r="M30" s="92" t="inlineStr">
        <is>
          <t>No Public API</t>
        </is>
      </c>
      <c r="N30" s="92" t="inlineStr">
        <is>
          <t>mediarelations@hm.com</t>
        </is>
      </c>
      <c r="O30" s="93" t="inlineStr">
        <is>
          <t>hmgroup.com/about-us/contact</t>
        </is>
      </c>
      <c r="P30" s="89" t="inlineStr">
        <is>
          <t>★☆☆</t>
        </is>
      </c>
      <c r="Q30" s="89" t="inlineStr">
        <is>
          <t>Sent</t>
        </is>
      </c>
      <c r="R30" s="89" t="inlineStr">
        <is>
          <t>2026-03-01</t>
        </is>
      </c>
      <c r="S30" s="89" t="inlineStr">
        <is>
          <t>—</t>
        </is>
      </c>
      <c r="T30" s="89" t="inlineStr">
        <is>
          <t>—</t>
        </is>
      </c>
      <c r="U30" s="90" t="inlineStr">
        <is>
          <t>⟲ 글로벌교차 — US 패스트패션 16%, $2.3B</t>
        </is>
      </c>
    </row>
    <row r="31" ht="21.75" customHeight="1" s="72">
      <c r="A31" s="89" t="n">
        <v>8</v>
      </c>
      <c r="B31" s="90" t="inlineStr">
        <is>
          <t>👗 패션 / 의류 / 신발 (Fashion)</t>
        </is>
      </c>
      <c r="C31" s="89" t="inlineStr">
        <is>
          <t>ES</t>
        </is>
      </c>
      <c r="D31" s="91" t="inlineStr">
        <is>
          <t>Zara</t>
        </is>
      </c>
      <c r="E31" s="92" t="inlineStr">
        <is>
          <t>zara.com</t>
        </is>
      </c>
      <c r="F31" s="89" t="inlineStr">
        <is>
          <t>&lt;0.2%</t>
        </is>
      </c>
      <c r="G31" s="89" t="inlineStr">
        <is>
          <t>~1.2%</t>
        </is>
      </c>
      <c r="H31" s="89" t="inlineStr">
        <is>
          <t>92M</t>
        </is>
      </c>
      <c r="I31" s="89" t="inlineStr">
        <is>
          <t>18-34</t>
        </is>
      </c>
      <c r="J31" s="90" t="inlineStr">
        <is>
          <t>없음</t>
        </is>
      </c>
      <c r="K31" s="93" t="inlineStr">
        <is>
          <t>N/A</t>
        </is>
      </c>
      <c r="L31" s="90" t="inlineStr">
        <is>
          <t>없음</t>
        </is>
      </c>
      <c r="M31" s="92" t="inlineStr">
        <is>
          <t>No API</t>
        </is>
      </c>
      <c r="N31" s="92" t="inlineStr">
        <is>
          <t>N/A</t>
        </is>
      </c>
      <c r="O31" s="93" t="inlineStr">
        <is>
          <t>zara.com/us/en/contact</t>
        </is>
      </c>
      <c r="P31" s="89" t="inlineStr">
        <is>
          <t>★☆☆</t>
        </is>
      </c>
      <c r="Q31" s="89" t="inlineStr">
        <is>
          <t>⬜</t>
        </is>
      </c>
      <c r="R31" s="89" t="inlineStr">
        <is>
          <t>—</t>
        </is>
      </c>
      <c r="S31" s="89" t="inlineStr">
        <is>
          <t>—</t>
        </is>
      </c>
      <c r="T31" s="89" t="inlineStr">
        <is>
          <t>—</t>
        </is>
      </c>
      <c r="U31" s="90" t="inlineStr">
        <is>
          <t>⟲ 글로벌교차 — US 패스트패션 13%, $1.9B</t>
        </is>
      </c>
    </row>
    <row r="32" ht="21.75" customHeight="1" s="72">
      <c r="A32" s="79" t="n">
        <v>9</v>
      </c>
      <c r="B32" s="80" t="inlineStr">
        <is>
          <t>👗 패션 / 의류 / 신발 (Fashion)</t>
        </is>
      </c>
      <c r="C32" s="79" t="inlineStr">
        <is>
          <t>US</t>
        </is>
      </c>
      <c r="D32" s="81" t="inlineStr">
        <is>
          <t>Zappos</t>
        </is>
      </c>
      <c r="E32" s="82" t="inlineStr">
        <is>
          <t>zappos.com</t>
        </is>
      </c>
      <c r="F32" s="79" t="inlineStr">
        <is>
          <t>&lt;0.3%</t>
        </is>
      </c>
      <c r="G32" s="79" t="inlineStr">
        <is>
          <t>~1.0%</t>
        </is>
      </c>
      <c r="H32" s="79" t="inlineStr">
        <is>
          <t>25M</t>
        </is>
      </c>
      <c r="I32" s="79" t="inlineStr">
        <is>
          <t>25-44</t>
        </is>
      </c>
      <c r="J32" s="82" t="inlineStr">
        <is>
          <t>Zappos Affiliate (CJ)</t>
        </is>
      </c>
      <c r="K32" s="83" t="inlineStr">
        <is>
          <t>zappos.com/associates-program</t>
        </is>
      </c>
      <c r="L32" s="80" t="inlineStr">
        <is>
          <t>없음</t>
        </is>
      </c>
      <c r="M32" s="82" t="inlineStr">
        <is>
          <t>No Public API</t>
        </is>
      </c>
      <c r="N32" s="82" t="inlineStr">
        <is>
          <t>pr@zappos.com</t>
        </is>
      </c>
      <c r="O32" s="83" t="inlineStr">
        <is>
          <t>zappos.com/c/press-kit</t>
        </is>
      </c>
      <c r="P32" s="79" t="inlineStr">
        <is>
          <t>★★☆</t>
        </is>
      </c>
      <c r="Q32" s="85" t="inlineStr">
        <is>
          <t>✅</t>
        </is>
      </c>
      <c r="R32" s="79" t="inlineStr">
        <is>
          <t>2026-03-01</t>
        </is>
      </c>
      <c r="S32" s="86" t="inlineStr">
        <is>
          <t>대기</t>
        </is>
      </c>
      <c r="T32" s="79" t="inlineStr">
        <is>
          <t>—</t>
        </is>
      </c>
      <c r="U32" s="80" t="inlineStr">
        <is>
          <t>신발 전문 (Amazon 자회사)</t>
        </is>
      </c>
    </row>
    <row r="33" ht="21.75" customHeight="1" s="72">
      <c r="A33" s="79" t="n">
        <v>10</v>
      </c>
      <c r="B33" s="80" t="inlineStr">
        <is>
          <t>👗 패션 / 의류 / 신발 (Fashion)</t>
        </is>
      </c>
      <c r="C33" s="79" t="inlineStr">
        <is>
          <t>US</t>
        </is>
      </c>
      <c r="D33" s="81" t="inlineStr">
        <is>
          <t>Gap / Old Navy</t>
        </is>
      </c>
      <c r="E33" s="82" t="inlineStr">
        <is>
          <t>gap.com</t>
        </is>
      </c>
      <c r="F33" s="79" t="inlineStr">
        <is>
          <t>~0.3%</t>
        </is>
      </c>
      <c r="G33" s="79" t="inlineStr">
        <is>
          <t>~1.9%</t>
        </is>
      </c>
      <c r="H33" s="79" t="inlineStr">
        <is>
          <t>40M</t>
        </is>
      </c>
      <c r="I33" s="79" t="inlineStr">
        <is>
          <t>25-44</t>
        </is>
      </c>
      <c r="J33" s="82" t="inlineStr">
        <is>
          <t>Gap Affiliate (CJ)</t>
        </is>
      </c>
      <c r="K33" s="83" t="inlineStr">
        <is>
          <t>cj.com</t>
        </is>
      </c>
      <c r="L33" s="80" t="inlineStr">
        <is>
          <t>없음</t>
        </is>
      </c>
      <c r="M33" s="82" t="inlineStr">
        <is>
          <t>No Public API</t>
        </is>
      </c>
      <c r="N33" s="82" t="inlineStr">
        <is>
          <t>press@gap.com</t>
        </is>
      </c>
      <c r="O33" s="83" t="inlineStr">
        <is>
          <t>gapinc.com/en-us/contact-us</t>
        </is>
      </c>
      <c r="P33" s="79" t="inlineStr">
        <is>
          <t>★☆☆</t>
        </is>
      </c>
      <c r="Q33" s="88" t="inlineStr">
        <is>
          <t>Sent</t>
        </is>
      </c>
      <c r="R33" s="79" t="inlineStr">
        <is>
          <t>2026-03-01</t>
        </is>
      </c>
      <c r="S33" s="79" t="inlineStr">
        <is>
          <t>—</t>
        </is>
      </c>
      <c r="T33" s="79" t="inlineStr">
        <is>
          <t>—</t>
        </is>
      </c>
      <c r="U33" s="82" t="inlineStr">
        <is>
          <t>Gap Inc DTC ~$3B</t>
        </is>
      </c>
    </row>
    <row r="34" ht="21.75" customHeight="1" s="72">
      <c r="A34" s="79" t="n">
        <v>11</v>
      </c>
      <c r="B34" s="80" t="inlineStr">
        <is>
          <t>👗 패션 / 의류 / 신발 (Fashion)</t>
        </is>
      </c>
      <c r="C34" s="79" t="inlineStr">
        <is>
          <t>DE</t>
        </is>
      </c>
      <c r="D34" s="81" t="inlineStr">
        <is>
          <t>Adidas</t>
        </is>
      </c>
      <c r="E34" s="82" t="inlineStr">
        <is>
          <t>adidas.com</t>
        </is>
      </c>
      <c r="F34" s="79" t="inlineStr">
        <is>
          <t>~0.2%</t>
        </is>
      </c>
      <c r="G34" s="79" t="inlineStr">
        <is>
          <t>~1.3%</t>
        </is>
      </c>
      <c r="H34" s="79" t="inlineStr">
        <is>
          <t>50M</t>
        </is>
      </c>
      <c r="I34" s="79" t="inlineStr">
        <is>
          <t>18-34</t>
        </is>
      </c>
      <c r="J34" s="82" t="inlineStr">
        <is>
          <t>Adidas Affiliate (Impact)</t>
        </is>
      </c>
      <c r="K34" s="83" t="inlineStr">
        <is>
          <t>impact.com</t>
        </is>
      </c>
      <c r="L34" s="80" t="inlineStr">
        <is>
          <t>없음</t>
        </is>
      </c>
      <c r="M34" s="82" t="inlineStr">
        <is>
          <t>No Public API</t>
        </is>
      </c>
      <c r="N34" s="82" t="inlineStr">
        <is>
          <t>corporate.press@adidas.com</t>
        </is>
      </c>
      <c r="O34" s="83" t="inlineStr">
        <is>
          <t>adidas.com/us/help</t>
        </is>
      </c>
      <c r="P34" s="79" t="inlineStr">
        <is>
          <t>★☆☆</t>
        </is>
      </c>
      <c r="Q34" s="88" t="inlineStr">
        <is>
          <t>Sent</t>
        </is>
      </c>
      <c r="R34" s="79" t="inlineStr">
        <is>
          <t>2026-03-01</t>
        </is>
      </c>
      <c r="S34" s="79" t="inlineStr">
        <is>
          <t>—</t>
        </is>
      </c>
      <c r="T34" s="79" t="inlineStr">
        <is>
          <t>—</t>
        </is>
      </c>
      <c r="U34" s="82" t="inlineStr">
        <is>
          <t>DTC ~$2B US</t>
        </is>
      </c>
    </row>
    <row r="35" ht="21.75" customHeight="1" s="72">
      <c r="A35" s="79" t="n">
        <v>12</v>
      </c>
      <c r="B35" s="80" t="inlineStr">
        <is>
          <t>👗 패션 / 의류 / 신발 (Fashion)</t>
        </is>
      </c>
      <c r="C35" s="79" t="inlineStr">
        <is>
          <t>CA</t>
        </is>
      </c>
      <c r="D35" s="81" t="inlineStr">
        <is>
          <t>Lululemon</t>
        </is>
      </c>
      <c r="E35" s="82" t="inlineStr">
        <is>
          <t>lululemon.com</t>
        </is>
      </c>
      <c r="F35" s="79" t="inlineStr">
        <is>
          <t>&lt;0.2%</t>
        </is>
      </c>
      <c r="G35" s="79" t="inlineStr">
        <is>
          <t>~1.3%</t>
        </is>
      </c>
      <c r="H35" s="79" t="inlineStr">
        <is>
          <t>25M</t>
        </is>
      </c>
      <c r="I35" s="79" t="inlineStr">
        <is>
          <t>25-44</t>
        </is>
      </c>
      <c r="J35" s="82" t="inlineStr">
        <is>
          <t>Lululemon Affiliate (Impact)</t>
        </is>
      </c>
      <c r="K35" s="83" t="inlineStr">
        <is>
          <t>impact.com</t>
        </is>
      </c>
      <c r="L35" s="80" t="inlineStr">
        <is>
          <t>없음</t>
        </is>
      </c>
      <c r="M35" s="82" t="inlineStr">
        <is>
          <t>No Public API</t>
        </is>
      </c>
      <c r="N35" s="82" t="inlineStr">
        <is>
          <t>media@lululemon.com</t>
        </is>
      </c>
      <c r="O35" s="83" t="inlineStr">
        <is>
          <t>lululemon.com/help/contactus</t>
        </is>
      </c>
      <c r="P35" s="79" t="inlineStr">
        <is>
          <t>★☆☆</t>
        </is>
      </c>
      <c r="Q35" s="88" t="inlineStr">
        <is>
          <t>Sent</t>
        </is>
      </c>
      <c r="R35" s="79" t="inlineStr">
        <is>
          <t>2026-03-01</t>
        </is>
      </c>
      <c r="S35" s="79" t="inlineStr">
        <is>
          <t>—</t>
        </is>
      </c>
      <c r="T35" s="79" t="inlineStr">
        <is>
          <t>—</t>
        </is>
      </c>
      <c r="U35" s="82" t="inlineStr">
        <is>
          <t>DTC $2B — 종합몰 미입점 독점</t>
        </is>
      </c>
    </row>
    <row r="36" ht="27.75" customHeight="1" s="72">
      <c r="A36" s="99" t="inlineStr">
        <is>
          <t>🏠 홈 / 가구 / 인테리어 (Home) — US 온라인 시장 $182B  [7곳, 교차3]</t>
        </is>
      </c>
    </row>
    <row r="37" ht="21.75" customHeight="1" s="72">
      <c r="A37" s="79" t="n">
        <v>1</v>
      </c>
      <c r="B37" s="80" t="inlineStr">
        <is>
          <t>🏠 홈 / 가구 / 인테리어 (Home)</t>
        </is>
      </c>
      <c r="C37" s="79" t="inlineStr">
        <is>
          <t>US</t>
        </is>
      </c>
      <c r="D37" s="81" t="inlineStr">
        <is>
          <t>Home Depot</t>
        </is>
      </c>
      <c r="E37" s="82" t="inlineStr">
        <is>
          <t>homedepot.com</t>
        </is>
      </c>
      <c r="F37" s="79" t="inlineStr">
        <is>
          <t>1.9%</t>
        </is>
      </c>
      <c r="G37" s="79" t="inlineStr">
        <is>
          <t>12.4%</t>
        </is>
      </c>
      <c r="H37" s="79" t="inlineStr">
        <is>
          <t>190M</t>
        </is>
      </c>
      <c r="I37" s="79" t="inlineStr">
        <is>
          <t>35-64</t>
        </is>
      </c>
      <c r="J37" s="82" t="inlineStr">
        <is>
          <t>Home Depot Affiliate (Impact)</t>
        </is>
      </c>
      <c r="K37" s="83" t="inlineStr">
        <is>
          <t>homedepot.com/affiliates</t>
        </is>
      </c>
      <c r="L37" s="80" t="inlineStr">
        <is>
          <t>없음</t>
        </is>
      </c>
      <c r="M37" s="82" t="inlineStr">
        <is>
          <t>No Public API</t>
        </is>
      </c>
      <c r="N37" s="82" t="inlineStr">
        <is>
          <t>public_relations@homedepot.com</t>
        </is>
      </c>
      <c r="O37" s="83" t="inlineStr">
        <is>
          <t>corporate.homedepot.com/page/contact-us</t>
        </is>
      </c>
      <c r="P37" s="79" t="inlineStr">
        <is>
          <t>★★★</t>
        </is>
      </c>
      <c r="Q37" s="85" t="inlineStr">
        <is>
          <t>✅</t>
        </is>
      </c>
      <c r="R37" s="79" t="inlineStr">
        <is>
          <t>2026-03-01</t>
        </is>
      </c>
      <c r="S37" s="86" t="inlineStr">
        <is>
          <t>대기</t>
        </is>
      </c>
      <c r="T37" s="79" t="inlineStr">
        <is>
          <t>—</t>
        </is>
      </c>
      <c r="U37" s="80" t="inlineStr">
        <is>
          <t>홈임프루브먼트 1위 $22.5B</t>
        </is>
      </c>
    </row>
    <row r="38" ht="21.75" customHeight="1" s="72">
      <c r="A38" s="89" t="n">
        <v>2</v>
      </c>
      <c r="B38" s="90" t="inlineStr">
        <is>
          <t>🏠 홈 / 가구 / 인테리어 (Home)</t>
        </is>
      </c>
      <c r="C38" s="89" t="inlineStr">
        <is>
          <t>US</t>
        </is>
      </c>
      <c r="D38" s="91" t="inlineStr">
        <is>
          <t>Amazon</t>
        </is>
      </c>
      <c r="E38" s="92" t="inlineStr">
        <is>
          <t>amazon.com</t>
        </is>
      </c>
      <c r="F38" s="89" t="inlineStr">
        <is>
          <t>40.4%</t>
        </is>
      </c>
      <c r="G38" s="89" t="inlineStr">
        <is>
          <t>~10.4%</t>
        </is>
      </c>
      <c r="H38" s="89" t="inlineStr">
        <is>
          <t>2.7B</t>
        </is>
      </c>
      <c r="I38" s="89" t="inlineStr">
        <is>
          <t>25-54</t>
        </is>
      </c>
      <c r="J38" s="92" t="inlineStr">
        <is>
          <t>Amazon Associates</t>
        </is>
      </c>
      <c r="K38" s="93" t="inlineStr">
        <is>
          <t>affiliate-program.amazon.com</t>
        </is>
      </c>
      <c r="L38" s="97" t="inlineStr">
        <is>
          <t>✅ Active (RapidAPI)</t>
        </is>
      </c>
      <c r="M38" s="92" t="inlineStr">
        <is>
          <t>3rd Party Scraping</t>
        </is>
      </c>
      <c r="N38" s="92" t="inlineStr">
        <is>
          <t>N/A</t>
        </is>
      </c>
      <c r="O38" s="93" t="inlineStr">
        <is>
          <t>affiliate-program.amazon.com</t>
        </is>
      </c>
      <c r="P38" s="89" t="inlineStr">
        <is>
          <t>★★★</t>
        </is>
      </c>
      <c r="Q38" s="89" t="inlineStr">
        <is>
          <t>✅</t>
        </is>
      </c>
      <c r="R38" s="94" t="inlineStr">
        <is>
          <t>연동완료</t>
        </is>
      </c>
      <c r="S38" s="89" t="inlineStr">
        <is>
          <t>N/A</t>
        </is>
      </c>
      <c r="T38" s="94" t="inlineStr">
        <is>
          <t>✅ 연동됨</t>
        </is>
      </c>
      <c r="U38" s="90" t="inlineStr">
        <is>
          <t>⟲ 교차 — 가구/홈 $9.3B+α</t>
        </is>
      </c>
    </row>
    <row r="39" ht="21.75" customHeight="1" s="72">
      <c r="A39" s="79" t="n">
        <v>3</v>
      </c>
      <c r="B39" s="80" t="inlineStr">
        <is>
          <t>🏠 홈 / 가구 / 인테리어 (Home)</t>
        </is>
      </c>
      <c r="C39" s="79" t="inlineStr">
        <is>
          <t>US</t>
        </is>
      </c>
      <c r="D39" s="81" t="inlineStr">
        <is>
          <t>Wayfair</t>
        </is>
      </c>
      <c r="E39" s="82" t="inlineStr">
        <is>
          <t>wayfair.com</t>
        </is>
      </c>
      <c r="F39" s="79" t="inlineStr">
        <is>
          <t>~1.1%</t>
        </is>
      </c>
      <c r="G39" s="79" t="inlineStr">
        <is>
          <t>6.5%</t>
        </is>
      </c>
      <c r="H39" s="79" t="inlineStr">
        <is>
          <t>60M</t>
        </is>
      </c>
      <c r="I39" s="79" t="inlineStr">
        <is>
          <t>25-54</t>
        </is>
      </c>
      <c r="J39" s="82" t="inlineStr">
        <is>
          <t>Wayfair Affiliate (CJ)</t>
        </is>
      </c>
      <c r="K39" s="83" t="inlineStr">
        <is>
          <t>wayfair.com/affiliate</t>
        </is>
      </c>
      <c r="L39" s="80" t="inlineStr">
        <is>
          <t>없음</t>
        </is>
      </c>
      <c r="M39" s="82" t="inlineStr">
        <is>
          <t>No Public API</t>
        </is>
      </c>
      <c r="N39" s="82" t="inlineStr">
        <is>
          <t>supplierservicedesk@wayfair.com</t>
        </is>
      </c>
      <c r="O39" s="83" t="inlineStr">
        <is>
          <t>aboutwayfair.com/partner-with-us</t>
        </is>
      </c>
      <c r="P39" s="79" t="inlineStr">
        <is>
          <t>★★☆</t>
        </is>
      </c>
      <c r="Q39" s="85" t="inlineStr">
        <is>
          <t>✅</t>
        </is>
      </c>
      <c r="R39" s="79" t="inlineStr">
        <is>
          <t>2026-03-01</t>
        </is>
      </c>
      <c r="S39" s="86" t="inlineStr">
        <is>
          <t>대기</t>
        </is>
      </c>
      <c r="T39" s="79" t="inlineStr">
        <is>
          <t>—</t>
        </is>
      </c>
      <c r="U39" s="80" t="inlineStr">
        <is>
          <t>온라인 가구 전문 1위 $11.9B</t>
        </is>
      </c>
    </row>
    <row r="40" ht="21.75" customHeight="1" s="72">
      <c r="A40" s="89" t="n">
        <v>4</v>
      </c>
      <c r="B40" s="90" t="inlineStr">
        <is>
          <t>🏠 홈 / 가구 / 인테리어 (Home)</t>
        </is>
      </c>
      <c r="C40" s="89" t="inlineStr">
        <is>
          <t>US</t>
        </is>
      </c>
      <c r="D40" s="91" t="inlineStr">
        <is>
          <t>Walmart</t>
        </is>
      </c>
      <c r="E40" s="92" t="inlineStr">
        <is>
          <t>walmart.com</t>
        </is>
      </c>
      <c r="F40" s="89" t="inlineStr">
        <is>
          <t>6.4%</t>
        </is>
      </c>
      <c r="G40" s="89" t="inlineStr">
        <is>
          <t>~5.5%</t>
        </is>
      </c>
      <c r="H40" s="89" t="inlineStr">
        <is>
          <t>503M</t>
        </is>
      </c>
      <c r="I40" s="89" t="inlineStr">
        <is>
          <t>25-54</t>
        </is>
      </c>
      <c r="J40" s="92" t="inlineStr">
        <is>
          <t>Walmart Affiliate (Impact)</t>
        </is>
      </c>
      <c r="K40" s="93" t="inlineStr">
        <is>
          <t>affiliates.walmart.com</t>
        </is>
      </c>
      <c r="L40" s="97" t="inlineStr">
        <is>
          <t>✅ Active (RapidAPI)</t>
        </is>
      </c>
      <c r="M40" s="92" t="inlineStr">
        <is>
          <t>3rd Party Scraping</t>
        </is>
      </c>
      <c r="N40" s="92" t="inlineStr">
        <is>
          <t>N/A</t>
        </is>
      </c>
      <c r="O40" s="93" t="inlineStr">
        <is>
          <t>affiliates.walmart.com</t>
        </is>
      </c>
      <c r="P40" s="89" t="inlineStr">
        <is>
          <t>★★★</t>
        </is>
      </c>
      <c r="Q40" s="89" t="inlineStr">
        <is>
          <t>✅</t>
        </is>
      </c>
      <c r="R40" s="94" t="inlineStr">
        <is>
          <t>연동완료</t>
        </is>
      </c>
      <c r="S40" s="89" t="inlineStr">
        <is>
          <t>N/A</t>
        </is>
      </c>
      <c r="T40" s="94" t="inlineStr">
        <is>
          <t>✅ 연동됨</t>
        </is>
      </c>
      <c r="U40" s="90" t="inlineStr">
        <is>
          <t>⟲ 교차 — 가구/홈 $7.1B+α</t>
        </is>
      </c>
    </row>
    <row r="41" ht="21.75" customHeight="1" s="72">
      <c r="A41" s="89" t="n">
        <v>5</v>
      </c>
      <c r="B41" s="90" t="inlineStr">
        <is>
          <t>🏠 홈 / 가구 / 인테리어 (Home)</t>
        </is>
      </c>
      <c r="C41" s="89" t="inlineStr">
        <is>
          <t>SE</t>
        </is>
      </c>
      <c r="D41" s="91" t="inlineStr">
        <is>
          <t>IKEA</t>
        </is>
      </c>
      <c r="E41" s="92" t="inlineStr">
        <is>
          <t>ikea.com/us</t>
        </is>
      </c>
      <c r="F41" s="89" t="inlineStr">
        <is>
          <t>&lt;0.2%</t>
        </is>
      </c>
      <c r="G41" s="89" t="inlineStr">
        <is>
          <t>~1.0%</t>
        </is>
      </c>
      <c r="H41" s="89" t="inlineStr">
        <is>
          <t>80M</t>
        </is>
      </c>
      <c r="I41" s="89" t="inlineStr">
        <is>
          <t>25-44</t>
        </is>
      </c>
      <c r="J41" s="92" t="inlineStr">
        <is>
          <t>IKEA Affiliate (Awin)</t>
        </is>
      </c>
      <c r="K41" s="93" t="inlineStr">
        <is>
          <t>awin.com</t>
        </is>
      </c>
      <c r="L41" s="90" t="inlineStr">
        <is>
          <t>없음</t>
        </is>
      </c>
      <c r="M41" s="92" t="inlineStr">
        <is>
          <t>No Public API</t>
        </is>
      </c>
      <c r="N41" s="92" t="inlineStr">
        <is>
          <t>N/A</t>
        </is>
      </c>
      <c r="O41" s="93" t="inlineStr">
        <is>
          <t>ikea.com/us/en/customer-service/contact-us</t>
        </is>
      </c>
      <c r="P41" s="89" t="inlineStr">
        <is>
          <t>★★☆</t>
        </is>
      </c>
      <c r="Q41" s="89" t="inlineStr">
        <is>
          <t>⬜</t>
        </is>
      </c>
      <c r="R41" s="89" t="inlineStr">
        <is>
          <t>—</t>
        </is>
      </c>
      <c r="S41" s="89" t="inlineStr">
        <is>
          <t>—</t>
        </is>
      </c>
      <c r="T41" s="89" t="inlineStr">
        <is>
          <t>—</t>
        </is>
      </c>
      <c r="U41" s="90" t="inlineStr">
        <is>
          <t>⟲ 글로벌교차 — US e-com $1.9B, 자사몰 독점</t>
        </is>
      </c>
    </row>
    <row r="42" ht="21.75" customHeight="1" s="72">
      <c r="A42" s="79" t="n">
        <v>6</v>
      </c>
      <c r="B42" s="80" t="inlineStr">
        <is>
          <t>🏠 홈 / 가구 / 인테리어 (Home)</t>
        </is>
      </c>
      <c r="C42" s="79" t="inlineStr">
        <is>
          <t>US</t>
        </is>
      </c>
      <c r="D42" s="81" t="inlineStr">
        <is>
          <t>Lowe's</t>
        </is>
      </c>
      <c r="E42" s="82" t="inlineStr">
        <is>
          <t>lowes.com</t>
        </is>
      </c>
      <c r="F42" s="79" t="inlineStr">
        <is>
          <t>~1.0%</t>
        </is>
      </c>
      <c r="G42" s="79" t="inlineStr">
        <is>
          <t>~5.5%</t>
        </is>
      </c>
      <c r="H42" s="79" t="inlineStr">
        <is>
          <t>100M</t>
        </is>
      </c>
      <c r="I42" s="79" t="inlineStr">
        <is>
          <t>35-64</t>
        </is>
      </c>
      <c r="J42" s="82" t="inlineStr">
        <is>
          <t>Lowe's Affiliate (Impact)</t>
        </is>
      </c>
      <c r="K42" s="83" t="inlineStr">
        <is>
          <t>lowes.com/l/Affiliate-Program</t>
        </is>
      </c>
      <c r="L42" s="80" t="inlineStr">
        <is>
          <t>없음</t>
        </is>
      </c>
      <c r="M42" s="82" t="inlineStr">
        <is>
          <t>No Public API</t>
        </is>
      </c>
      <c r="N42" s="82" t="inlineStr">
        <is>
          <t>N/A</t>
        </is>
      </c>
      <c r="O42" s="83" t="inlineStr">
        <is>
          <t>corporate.lowes.com/contact-us</t>
        </is>
      </c>
      <c r="P42" s="79" t="inlineStr">
        <is>
          <t>★☆☆</t>
        </is>
      </c>
      <c r="Q42" s="100" t="inlineStr">
        <is>
          <t>⛔ 컨택불가</t>
        </is>
      </c>
      <c r="R42" s="79" t="inlineStr">
        <is>
          <t>—</t>
        </is>
      </c>
      <c r="S42" s="79" t="inlineStr">
        <is>
          <t>—</t>
        </is>
      </c>
      <c r="T42" s="79" t="inlineStr">
        <is>
          <t>—</t>
        </is>
      </c>
      <c r="U42" s="80" t="inlineStr">
        <is>
          <t>홈임프루브먼트 2위 — 직접 컨택 불가</t>
        </is>
      </c>
    </row>
    <row r="43" ht="21.75" customHeight="1" s="72">
      <c r="A43" s="79" t="n">
        <v>7</v>
      </c>
      <c r="B43" s="80" t="inlineStr">
        <is>
          <t>🏠 홈 / 가구 / 인테리어 (Home)</t>
        </is>
      </c>
      <c r="C43" s="79" t="inlineStr">
        <is>
          <t>US</t>
        </is>
      </c>
      <c r="D43" s="81" t="inlineStr">
        <is>
          <t>Overstock</t>
        </is>
      </c>
      <c r="E43" s="82" t="inlineStr">
        <is>
          <t>overstock.com</t>
        </is>
      </c>
      <c r="F43" s="79" t="inlineStr">
        <is>
          <t>&lt;0.2%</t>
        </is>
      </c>
      <c r="G43" s="79" t="inlineStr">
        <is>
          <t>&lt;1%</t>
        </is>
      </c>
      <c r="H43" s="79" t="inlineStr">
        <is>
          <t>15M</t>
        </is>
      </c>
      <c r="I43" s="79" t="inlineStr">
        <is>
          <t>30-54</t>
        </is>
      </c>
      <c r="J43" s="82" t="inlineStr">
        <is>
          <t>Overstock Affiliate (CJ)</t>
        </is>
      </c>
      <c r="K43" s="83" t="inlineStr">
        <is>
          <t>cj.com</t>
        </is>
      </c>
      <c r="L43" s="80" t="inlineStr">
        <is>
          <t>없음</t>
        </is>
      </c>
      <c r="M43" s="82" t="inlineStr">
        <is>
          <t>No Public API</t>
        </is>
      </c>
      <c r="N43" s="82" t="inlineStr">
        <is>
          <t>affiliates@overstock.com</t>
        </is>
      </c>
      <c r="O43" s="83" t="inlineStr">
        <is>
          <t>overstock.com/affiliate</t>
        </is>
      </c>
      <c r="P43" s="79" t="inlineStr">
        <is>
          <t>★☆☆</t>
        </is>
      </c>
      <c r="Q43" s="88" t="inlineStr">
        <is>
          <t>Sent</t>
        </is>
      </c>
      <c r="R43" s="79" t="inlineStr">
        <is>
          <t>2026-03-01</t>
        </is>
      </c>
      <c r="S43" s="79" t="inlineStr">
        <is>
          <t>—</t>
        </is>
      </c>
      <c r="T43" s="79" t="inlineStr">
        <is>
          <t>—</t>
        </is>
      </c>
      <c r="U43" s="80" t="inlineStr">
        <is>
          <t>할인 가구/홈 데코</t>
        </is>
      </c>
    </row>
    <row r="44" ht="27.75" customHeight="1" s="72">
      <c r="A44" s="101" t="inlineStr">
        <is>
          <t>🛒 식료품 / 그로서리 (Grocery) — US 온라인 시장 $205B  [5곳, 교차3]</t>
        </is>
      </c>
    </row>
    <row r="45" ht="21.75" customHeight="1" s="72">
      <c r="A45" s="89" t="n">
        <v>1</v>
      </c>
      <c r="B45" s="90" t="inlineStr">
        <is>
          <t>🛒 식료품 / 그로서리 (Grocery)</t>
        </is>
      </c>
      <c r="C45" s="89" t="inlineStr">
        <is>
          <t>US</t>
        </is>
      </c>
      <c r="D45" s="91" t="inlineStr">
        <is>
          <t>Walmart</t>
        </is>
      </c>
      <c r="E45" s="92" t="inlineStr">
        <is>
          <t>walmart.com</t>
        </is>
      </c>
      <c r="F45" s="89" t="inlineStr">
        <is>
          <t>6.4%</t>
        </is>
      </c>
      <c r="G45" s="89" t="inlineStr">
        <is>
          <t>31.6%</t>
        </is>
      </c>
      <c r="H45" s="89" t="inlineStr">
        <is>
          <t>503M</t>
        </is>
      </c>
      <c r="I45" s="89" t="inlineStr">
        <is>
          <t>25-54</t>
        </is>
      </c>
      <c r="J45" s="92" t="inlineStr">
        <is>
          <t>Walmart Affiliate (Impact)</t>
        </is>
      </c>
      <c r="K45" s="93" t="inlineStr">
        <is>
          <t>affiliates.walmart.com</t>
        </is>
      </c>
      <c r="L45" s="97" t="inlineStr">
        <is>
          <t>✅ Active (RapidAPI)</t>
        </is>
      </c>
      <c r="M45" s="92" t="inlineStr">
        <is>
          <t>3rd Party Scraping</t>
        </is>
      </c>
      <c r="N45" s="92" t="inlineStr">
        <is>
          <t>N/A</t>
        </is>
      </c>
      <c r="O45" s="93" t="inlineStr">
        <is>
          <t>affiliates.walmart.com</t>
        </is>
      </c>
      <c r="P45" s="89" t="inlineStr">
        <is>
          <t>★★★</t>
        </is>
      </c>
      <c r="Q45" s="89" t="inlineStr">
        <is>
          <t>✅</t>
        </is>
      </c>
      <c r="R45" s="94" t="inlineStr">
        <is>
          <t>연동완료</t>
        </is>
      </c>
      <c r="S45" s="89" t="inlineStr">
        <is>
          <t>N/A</t>
        </is>
      </c>
      <c r="T45" s="94" t="inlineStr">
        <is>
          <t>✅ 연동됨</t>
        </is>
      </c>
      <c r="U45" s="90" t="inlineStr">
        <is>
          <t>⟲ 교차 — 온라인 그로서리 1위</t>
        </is>
      </c>
    </row>
    <row r="46" ht="21.75" customHeight="1" s="72">
      <c r="A46" s="89" t="n">
        <v>2</v>
      </c>
      <c r="B46" s="90" t="inlineStr">
        <is>
          <t>🛒 식료품 / 그로서리 (Grocery)</t>
        </is>
      </c>
      <c r="C46" s="89" t="inlineStr">
        <is>
          <t>US</t>
        </is>
      </c>
      <c r="D46" s="91" t="inlineStr">
        <is>
          <t>Amazon</t>
        </is>
      </c>
      <c r="E46" s="92" t="inlineStr">
        <is>
          <t>amazon.com</t>
        </is>
      </c>
      <c r="F46" s="89" t="inlineStr">
        <is>
          <t>40.4%</t>
        </is>
      </c>
      <c r="G46" s="89" t="inlineStr">
        <is>
          <t>22.6%</t>
        </is>
      </c>
      <c r="H46" s="89" t="inlineStr">
        <is>
          <t>2.7B</t>
        </is>
      </c>
      <c r="I46" s="89" t="inlineStr">
        <is>
          <t>25-54</t>
        </is>
      </c>
      <c r="J46" s="92" t="inlineStr">
        <is>
          <t>Amazon Associates</t>
        </is>
      </c>
      <c r="K46" s="93" t="inlineStr">
        <is>
          <t>affiliate-program.amazon.com</t>
        </is>
      </c>
      <c r="L46" s="97" t="inlineStr">
        <is>
          <t>✅ Active (RapidAPI)</t>
        </is>
      </c>
      <c r="M46" s="92" t="inlineStr">
        <is>
          <t>3rd Party Scraping</t>
        </is>
      </c>
      <c r="N46" s="92" t="inlineStr">
        <is>
          <t>N/A</t>
        </is>
      </c>
      <c r="O46" s="93" t="inlineStr">
        <is>
          <t>affiliate-program.amazon.com</t>
        </is>
      </c>
      <c r="P46" s="89" t="inlineStr">
        <is>
          <t>★★★</t>
        </is>
      </c>
      <c r="Q46" s="89" t="inlineStr">
        <is>
          <t>✅</t>
        </is>
      </c>
      <c r="R46" s="94" t="inlineStr">
        <is>
          <t>연동완료</t>
        </is>
      </c>
      <c r="S46" s="89" t="inlineStr">
        <is>
          <t>N/A</t>
        </is>
      </c>
      <c r="T46" s="94" t="inlineStr">
        <is>
          <t>✅ 연동됨</t>
        </is>
      </c>
      <c r="U46" s="90" t="inlineStr">
        <is>
          <t>⟲ 교차 — Fresh/Whole Foods</t>
        </is>
      </c>
    </row>
    <row r="47" ht="21.75" customHeight="1" s="72">
      <c r="A47" s="79" t="n">
        <v>3</v>
      </c>
      <c r="B47" s="80" t="inlineStr">
        <is>
          <t>🛒 식료품 / 그로서리 (Grocery)</t>
        </is>
      </c>
      <c r="C47" s="79" t="inlineStr">
        <is>
          <t>US</t>
        </is>
      </c>
      <c r="D47" s="81" t="inlineStr">
        <is>
          <t>Instacart</t>
        </is>
      </c>
      <c r="E47" s="82" t="inlineStr">
        <is>
          <t>instacart.com</t>
        </is>
      </c>
      <c r="F47" s="79" t="inlineStr">
        <is>
          <t>~0.5%</t>
        </is>
      </c>
      <c r="G47" s="79" t="inlineStr">
        <is>
          <t>~21.6%</t>
        </is>
      </c>
      <c r="H47" s="79" t="inlineStr">
        <is>
          <t>50M</t>
        </is>
      </c>
      <c r="I47" s="79" t="inlineStr">
        <is>
          <t>25-44</t>
        </is>
      </c>
      <c r="J47" s="82" t="inlineStr">
        <is>
          <t>Instacart Affiliate</t>
        </is>
      </c>
      <c r="K47" s="83" t="inlineStr">
        <is>
          <t>instacart.com/affiliates</t>
        </is>
      </c>
      <c r="L47" s="80" t="inlineStr">
        <is>
          <t>없음</t>
        </is>
      </c>
      <c r="M47" s="82" t="inlineStr">
        <is>
          <t>No Public API</t>
        </is>
      </c>
      <c r="N47" s="82" t="inlineStr">
        <is>
          <t>partners@instacart.com</t>
        </is>
      </c>
      <c r="O47" s="83" t="inlineStr">
        <is>
          <t>instacart.com/help</t>
        </is>
      </c>
      <c r="P47" s="79" t="inlineStr">
        <is>
          <t>★★☆</t>
        </is>
      </c>
      <c r="Q47" s="88" t="inlineStr">
        <is>
          <t>Sent</t>
        </is>
      </c>
      <c r="R47" s="79" t="inlineStr">
        <is>
          <t>2026-03-01</t>
        </is>
      </c>
      <c r="S47" s="79" t="inlineStr">
        <is>
          <t>—</t>
        </is>
      </c>
      <c r="T47" s="79" t="inlineStr">
        <is>
          <t>—</t>
        </is>
      </c>
      <c r="U47" s="80" t="inlineStr">
        <is>
          <t>배달 중개 플랫폼</t>
        </is>
      </c>
    </row>
    <row r="48" ht="21.75" customHeight="1" s="72">
      <c r="A48" s="79" t="n">
        <v>4</v>
      </c>
      <c r="B48" s="80" t="inlineStr">
        <is>
          <t>🛒 식료품 / 그로서리 (Grocery)</t>
        </is>
      </c>
      <c r="C48" s="79" t="inlineStr">
        <is>
          <t>US</t>
        </is>
      </c>
      <c r="D48" s="81" t="inlineStr">
        <is>
          <t>Kroger</t>
        </is>
      </c>
      <c r="E48" s="82" t="inlineStr">
        <is>
          <t>kroger.com</t>
        </is>
      </c>
      <c r="F48" s="79" t="inlineStr">
        <is>
          <t>~0.8%</t>
        </is>
      </c>
      <c r="G48" s="79" t="inlineStr">
        <is>
          <t>8.6%</t>
        </is>
      </c>
      <c r="H48" s="79" t="inlineStr">
        <is>
          <t>50M</t>
        </is>
      </c>
      <c r="I48" s="79" t="inlineStr">
        <is>
          <t>35-64</t>
        </is>
      </c>
      <c r="J48" s="80" t="inlineStr">
        <is>
          <t>없음</t>
        </is>
      </c>
      <c r="K48" s="83" t="inlineStr">
        <is>
          <t>N/A</t>
        </is>
      </c>
      <c r="L48" s="82" t="inlineStr">
        <is>
          <t>Insufficient Privileges</t>
        </is>
      </c>
      <c r="M48" s="82" t="inlineStr">
        <is>
          <t>Developer Portal 있음</t>
        </is>
      </c>
      <c r="N48" s="82" t="inlineStr">
        <is>
          <t>developer.kroger.com (Partner)</t>
        </is>
      </c>
      <c r="O48" s="83" t="inlineStr">
        <is>
          <t>developer.kroger.com/support</t>
        </is>
      </c>
      <c r="P48" s="79" t="inlineStr">
        <is>
          <t>★★☆</t>
        </is>
      </c>
      <c r="Q48" s="85" t="inlineStr">
        <is>
          <t>✅</t>
        </is>
      </c>
      <c r="R48" s="79" t="inlineStr">
        <is>
          <t>2026-02-27</t>
        </is>
      </c>
      <c r="S48" s="86" t="inlineStr">
        <is>
          <t>대기</t>
        </is>
      </c>
      <c r="T48" s="79" t="inlineStr">
        <is>
          <t>—</t>
        </is>
      </c>
      <c r="U48" s="80" t="inlineStr">
        <is>
          <t>전통 그로서리 온라인 1위</t>
        </is>
      </c>
    </row>
    <row r="49" ht="21.75" customHeight="1" s="72">
      <c r="A49" s="89" t="n">
        <v>5</v>
      </c>
      <c r="B49" s="90" t="inlineStr">
        <is>
          <t>🛒 식료품 / 그로서리 (Grocery)</t>
        </is>
      </c>
      <c r="C49" s="89" t="inlineStr">
        <is>
          <t>US</t>
        </is>
      </c>
      <c r="D49" s="91" t="inlineStr">
        <is>
          <t>Target</t>
        </is>
      </c>
      <c r="E49" s="92" t="inlineStr">
        <is>
          <t>target.com</t>
        </is>
      </c>
      <c r="F49" s="89" t="inlineStr">
        <is>
          <t>1.9%</t>
        </is>
      </c>
      <c r="G49" s="89" t="inlineStr">
        <is>
          <t>3.5%</t>
        </is>
      </c>
      <c r="H49" s="89" t="inlineStr">
        <is>
          <t>164M</t>
        </is>
      </c>
      <c r="I49" s="89" t="inlineStr">
        <is>
          <t>25-44</t>
        </is>
      </c>
      <c r="J49" s="92" t="inlineStr">
        <is>
          <t>Target Partners (Impact)</t>
        </is>
      </c>
      <c r="K49" s="93" t="inlineStr">
        <is>
          <t>partners.target.com</t>
        </is>
      </c>
      <c r="L49" s="92" t="inlineStr">
        <is>
          <t>❌ 404 Error</t>
        </is>
      </c>
      <c r="M49" s="92" t="inlineStr">
        <is>
          <t>3rd Party (Broken)</t>
        </is>
      </c>
      <c r="N49" s="92" t="inlineStr">
        <is>
          <t>partners@Targetpartnerships.com</t>
        </is>
      </c>
      <c r="O49" s="93" t="inlineStr">
        <is>
          <t>corporate.target.com/about/contact-us</t>
        </is>
      </c>
      <c r="P49" s="89" t="inlineStr">
        <is>
          <t>★★★</t>
        </is>
      </c>
      <c r="Q49" s="89" t="inlineStr">
        <is>
          <t>Sent</t>
        </is>
      </c>
      <c r="R49" s="89" t="inlineStr">
        <is>
          <t>2026-03-01</t>
        </is>
      </c>
      <c r="S49" s="94" t="inlineStr">
        <is>
          <t>대기</t>
        </is>
      </c>
      <c r="T49" s="89" t="inlineStr">
        <is>
          <t>❌ API 깨짐</t>
        </is>
      </c>
      <c r="U49" s="90" t="inlineStr">
        <is>
          <t>⟲ 교차 — 그로서리 5위</t>
        </is>
      </c>
    </row>
    <row r="50" ht="27.75" customHeight="1" s="72">
      <c r="A50" s="102" t="inlineStr">
        <is>
          <t>💄 뷰티 / 건강 (Beauty &amp; Health) — US 온라인 시장 $61B  [6곳, 교차2]</t>
        </is>
      </c>
    </row>
    <row r="51" ht="21.75" customHeight="1" s="72">
      <c r="A51" s="89" t="n">
        <v>1</v>
      </c>
      <c r="B51" s="90" t="inlineStr">
        <is>
          <t>💄 뷰티 / 건강 (Beauty &amp; Health)</t>
        </is>
      </c>
      <c r="C51" s="89" t="inlineStr">
        <is>
          <t>US</t>
        </is>
      </c>
      <c r="D51" s="91" t="inlineStr">
        <is>
          <t>Amazon</t>
        </is>
      </c>
      <c r="E51" s="92" t="inlineStr">
        <is>
          <t>amazon.com</t>
        </is>
      </c>
      <c r="F51" s="89" t="inlineStr">
        <is>
          <t>40.4%</t>
        </is>
      </c>
      <c r="G51" s="89" t="inlineStr">
        <is>
          <t>~15%</t>
        </is>
      </c>
      <c r="H51" s="89" t="inlineStr">
        <is>
          <t>2.7B</t>
        </is>
      </c>
      <c r="I51" s="89" t="inlineStr">
        <is>
          <t>25-54</t>
        </is>
      </c>
      <c r="J51" s="92" t="inlineStr">
        <is>
          <t>Amazon Associates</t>
        </is>
      </c>
      <c r="K51" s="93" t="inlineStr">
        <is>
          <t>affiliate-program.amazon.com</t>
        </is>
      </c>
      <c r="L51" s="97" t="inlineStr">
        <is>
          <t>✅ Active (RapidAPI)</t>
        </is>
      </c>
      <c r="M51" s="92" t="inlineStr">
        <is>
          <t>3rd Party Scraping</t>
        </is>
      </c>
      <c r="N51" s="92" t="inlineStr">
        <is>
          <t>N/A</t>
        </is>
      </c>
      <c r="O51" s="93" t="inlineStr">
        <is>
          <t>affiliate-program.amazon.com</t>
        </is>
      </c>
      <c r="P51" s="89" t="inlineStr">
        <is>
          <t>★★★</t>
        </is>
      </c>
      <c r="Q51" s="89" t="inlineStr">
        <is>
          <t>✅</t>
        </is>
      </c>
      <c r="R51" s="94" t="inlineStr">
        <is>
          <t>연동완료</t>
        </is>
      </c>
      <c r="S51" s="89" t="inlineStr">
        <is>
          <t>N/A</t>
        </is>
      </c>
      <c r="T51" s="94" t="inlineStr">
        <is>
          <t>✅ 연동됨</t>
        </is>
      </c>
      <c r="U51" s="90" t="inlineStr">
        <is>
          <t>⟲ 교차 — 건강 e-com 33%, 뷰티 10%</t>
        </is>
      </c>
    </row>
    <row r="52" ht="21.75" customHeight="1" s="72">
      <c r="A52" s="89" t="n">
        <v>2</v>
      </c>
      <c r="B52" s="90" t="inlineStr">
        <is>
          <t>💄 뷰티 / 건강 (Beauty &amp; Health)</t>
        </is>
      </c>
      <c r="C52" s="89" t="inlineStr">
        <is>
          <t>US</t>
        </is>
      </c>
      <c r="D52" s="91" t="inlineStr">
        <is>
          <t>Walmart</t>
        </is>
      </c>
      <c r="E52" s="92" t="inlineStr">
        <is>
          <t>walmart.com</t>
        </is>
      </c>
      <c r="F52" s="89" t="inlineStr">
        <is>
          <t>6.4%</t>
        </is>
      </c>
      <c r="G52" s="89" t="inlineStr">
        <is>
          <t>~14%</t>
        </is>
      </c>
      <c r="H52" s="89" t="inlineStr">
        <is>
          <t>503M</t>
        </is>
      </c>
      <c r="I52" s="89" t="inlineStr">
        <is>
          <t>25-54</t>
        </is>
      </c>
      <c r="J52" s="92" t="inlineStr">
        <is>
          <t>Walmart Affiliate (Impact)</t>
        </is>
      </c>
      <c r="K52" s="93" t="inlineStr">
        <is>
          <t>affiliates.walmart.com</t>
        </is>
      </c>
      <c r="L52" s="97" t="inlineStr">
        <is>
          <t>✅ Active (RapidAPI)</t>
        </is>
      </c>
      <c r="M52" s="92" t="inlineStr">
        <is>
          <t>3rd Party Scraping</t>
        </is>
      </c>
      <c r="N52" s="92" t="inlineStr">
        <is>
          <t>N/A</t>
        </is>
      </c>
      <c r="O52" s="93" t="inlineStr">
        <is>
          <t>affiliates.walmart.com</t>
        </is>
      </c>
      <c r="P52" s="89" t="inlineStr">
        <is>
          <t>★★★</t>
        </is>
      </c>
      <c r="Q52" s="89" t="inlineStr">
        <is>
          <t>✅</t>
        </is>
      </c>
      <c r="R52" s="94" t="inlineStr">
        <is>
          <t>연동완료</t>
        </is>
      </c>
      <c r="S52" s="89" t="inlineStr">
        <is>
          <t>N/A</t>
        </is>
      </c>
      <c r="T52" s="94" t="inlineStr">
        <is>
          <t>✅ 연동됨</t>
        </is>
      </c>
      <c r="U52" s="90" t="inlineStr">
        <is>
          <t>⟲ 교차 — Walmart+Target 합산 26%</t>
        </is>
      </c>
    </row>
    <row r="53" ht="21.75" customHeight="1" s="72">
      <c r="A53" s="79" t="n">
        <v>3</v>
      </c>
      <c r="B53" s="80" t="inlineStr">
        <is>
          <t>💄 뷰티 / 건강 (Beauty &amp; Health)</t>
        </is>
      </c>
      <c r="C53" s="79" t="inlineStr">
        <is>
          <t>FR</t>
        </is>
      </c>
      <c r="D53" s="81" t="inlineStr">
        <is>
          <t>Sephora</t>
        </is>
      </c>
      <c r="E53" s="82" t="inlineStr">
        <is>
          <t>sephora.com</t>
        </is>
      </c>
      <c r="F53" s="79" t="inlineStr">
        <is>
          <t>~0.3%</t>
        </is>
      </c>
      <c r="G53" s="79" t="inlineStr">
        <is>
          <t>~4.6%</t>
        </is>
      </c>
      <c r="H53" s="79" t="inlineStr">
        <is>
          <t>80M</t>
        </is>
      </c>
      <c r="I53" s="79" t="inlineStr">
        <is>
          <t>18-44</t>
        </is>
      </c>
      <c r="J53" s="82" t="inlineStr">
        <is>
          <t>Sephora Affiliate (Rakuten)</t>
        </is>
      </c>
      <c r="K53" s="83" t="inlineStr">
        <is>
          <t>rakutenadvertising.com</t>
        </is>
      </c>
      <c r="L53" s="80" t="inlineStr">
        <is>
          <t>없음</t>
        </is>
      </c>
      <c r="M53" s="82" t="inlineStr">
        <is>
          <t>No Public API</t>
        </is>
      </c>
      <c r="N53" s="82" t="inlineStr">
        <is>
          <t>N/A</t>
        </is>
      </c>
      <c r="O53" s="83" t="inlineStr">
        <is>
          <t>sephora.com/beauty/affiliate-program</t>
        </is>
      </c>
      <c r="P53" s="79" t="inlineStr">
        <is>
          <t>★★☆</t>
        </is>
      </c>
      <c r="Q53" s="88" t="inlineStr">
        <is>
          <t>⬜ Affiliate 경유</t>
        </is>
      </c>
      <c r="R53" s="79" t="inlineStr">
        <is>
          <t>—</t>
        </is>
      </c>
      <c r="S53" s="79" t="inlineStr">
        <is>
          <t>—</t>
        </is>
      </c>
      <c r="T53" s="79" t="inlineStr">
        <is>
          <t>—</t>
        </is>
      </c>
      <c r="U53" s="80" t="inlineStr">
        <is>
          <t>뷰티 전문 1위 $2.8B | Rakuten/CJ 경유만 가능, 직접이메일 없음</t>
        </is>
      </c>
    </row>
    <row r="54" ht="21.75" customHeight="1" s="72">
      <c r="A54" s="79" t="n">
        <v>4</v>
      </c>
      <c r="B54" s="80" t="inlineStr">
        <is>
          <t>💄 뷰티 / 건강 (Beauty &amp; Health)</t>
        </is>
      </c>
      <c r="C54" s="79" t="inlineStr">
        <is>
          <t>US</t>
        </is>
      </c>
      <c r="D54" s="81" t="inlineStr">
        <is>
          <t>Ulta Beauty</t>
        </is>
      </c>
      <c r="E54" s="82" t="inlineStr">
        <is>
          <t>ulta.com</t>
        </is>
      </c>
      <c r="F54" s="79" t="inlineStr">
        <is>
          <t>~0.2%</t>
        </is>
      </c>
      <c r="G54" s="79" t="inlineStr">
        <is>
          <t>~3.4%</t>
        </is>
      </c>
      <c r="H54" s="79" t="inlineStr">
        <is>
          <t>40M</t>
        </is>
      </c>
      <c r="I54" s="79" t="inlineStr">
        <is>
          <t>18-44</t>
        </is>
      </c>
      <c r="J54" s="82" t="inlineStr">
        <is>
          <t>Ulta Affiliate (Impact)</t>
        </is>
      </c>
      <c r="K54" s="83" t="inlineStr">
        <is>
          <t>impact.com</t>
        </is>
      </c>
      <c r="L54" s="80" t="inlineStr">
        <is>
          <t>없음</t>
        </is>
      </c>
      <c r="M54" s="82" t="inlineStr">
        <is>
          <t>No Public API</t>
        </is>
      </c>
      <c r="N54" s="82" t="inlineStr">
        <is>
          <t>N/A</t>
        </is>
      </c>
      <c r="O54" s="83" t="inlineStr">
        <is>
          <t>ulta.com/guestservices</t>
        </is>
      </c>
      <c r="P54" s="79" t="inlineStr">
        <is>
          <t>★★☆</t>
        </is>
      </c>
      <c r="Q54" s="88" t="inlineStr">
        <is>
          <t>⬜ Affiliate 경유</t>
        </is>
      </c>
      <c r="R54" s="79" t="inlineStr">
        <is>
          <t>—</t>
        </is>
      </c>
      <c r="S54" s="79" t="inlineStr">
        <is>
          <t>—</t>
        </is>
      </c>
      <c r="T54" s="79" t="inlineStr">
        <is>
          <t>—</t>
        </is>
      </c>
      <c r="U54" s="80" t="inlineStr">
        <is>
          <t>뷰티 전문 2위 $2.1B | Impact 경유만 가능, 직접이메일 없음</t>
        </is>
      </c>
    </row>
    <row r="55" ht="21.75" customHeight="1" s="72">
      <c r="A55" s="79" t="n">
        <v>5</v>
      </c>
      <c r="B55" s="80" t="inlineStr">
        <is>
          <t>💄 뷰티 / 건강 (Beauty &amp; Health)</t>
        </is>
      </c>
      <c r="C55" s="79" t="inlineStr">
        <is>
          <t>US</t>
        </is>
      </c>
      <c r="D55" s="81" t="inlineStr">
        <is>
          <t>iHerb</t>
        </is>
      </c>
      <c r="E55" s="82" t="inlineStr">
        <is>
          <t>iherb.com</t>
        </is>
      </c>
      <c r="F55" s="79" t="inlineStr">
        <is>
          <t>&lt;0.2%</t>
        </is>
      </c>
      <c r="G55" s="79" t="inlineStr">
        <is>
          <t>~0.8%</t>
        </is>
      </c>
      <c r="H55" s="79" t="inlineStr">
        <is>
          <t>30M</t>
        </is>
      </c>
      <c r="I55" s="79" t="inlineStr">
        <is>
          <t>25-44</t>
        </is>
      </c>
      <c r="J55" s="82" t="inlineStr">
        <is>
          <t>iHerb Affiliate</t>
        </is>
      </c>
      <c r="K55" s="83" t="inlineStr">
        <is>
          <t>iherb.com/info/affiliate</t>
        </is>
      </c>
      <c r="L55" s="80" t="inlineStr">
        <is>
          <t>없음</t>
        </is>
      </c>
      <c r="M55" s="82" t="inlineStr">
        <is>
          <t>No Public API</t>
        </is>
      </c>
      <c r="N55" s="82" t="inlineStr">
        <is>
          <t>affiliates@iherb.com</t>
        </is>
      </c>
      <c r="O55" s="83" t="inlineStr">
        <is>
          <t>iherb.com/info/affiliate</t>
        </is>
      </c>
      <c r="P55" s="79" t="inlineStr">
        <is>
          <t>★★☆</t>
        </is>
      </c>
      <c r="Q55" s="85" t="inlineStr">
        <is>
          <t>✅</t>
        </is>
      </c>
      <c r="R55" s="79" t="inlineStr">
        <is>
          <t>2026-03-01</t>
        </is>
      </c>
      <c r="S55" s="86" t="inlineStr">
        <is>
          <t>대기</t>
        </is>
      </c>
      <c r="T55" s="79" t="inlineStr">
        <is>
          <t>—</t>
        </is>
      </c>
      <c r="U55" s="80" t="inlineStr">
        <is>
          <t>보충제/건강 글로벌 1위</t>
        </is>
      </c>
    </row>
    <row r="56" ht="21.75" customHeight="1" s="72">
      <c r="A56" s="79" t="n">
        <v>6</v>
      </c>
      <c r="B56" s="80" t="inlineStr">
        <is>
          <t>💄 뷰티 / 건강 (Beauty &amp; Health)</t>
        </is>
      </c>
      <c r="C56" s="79" t="inlineStr">
        <is>
          <t>US</t>
        </is>
      </c>
      <c r="D56" s="81" t="inlineStr">
        <is>
          <t>CVS</t>
        </is>
      </c>
      <c r="E56" s="82" t="inlineStr">
        <is>
          <t>cvs.com</t>
        </is>
      </c>
      <c r="F56" s="79" t="inlineStr">
        <is>
          <t>~0.4%</t>
        </is>
      </c>
      <c r="G56" s="79" t="inlineStr">
        <is>
          <t>~2.5%</t>
        </is>
      </c>
      <c r="H56" s="79" t="inlineStr">
        <is>
          <t>70M</t>
        </is>
      </c>
      <c r="I56" s="79" t="inlineStr">
        <is>
          <t>35-64</t>
        </is>
      </c>
      <c r="J56" s="82" t="inlineStr">
        <is>
          <t>CVS Affiliate (CJ)</t>
        </is>
      </c>
      <c r="K56" s="83" t="inlineStr">
        <is>
          <t>cj.com</t>
        </is>
      </c>
      <c r="L56" s="80" t="inlineStr">
        <is>
          <t>없음</t>
        </is>
      </c>
      <c r="M56" s="82" t="inlineStr">
        <is>
          <t>No Public API</t>
        </is>
      </c>
      <c r="N56" s="82" t="inlineStr">
        <is>
          <t>N/A</t>
        </is>
      </c>
      <c r="O56" s="83" t="inlineStr">
        <is>
          <t>cvs.com/help/help-center</t>
        </is>
      </c>
      <c r="P56" s="79" t="inlineStr">
        <is>
          <t>★☆☆</t>
        </is>
      </c>
      <c r="Q56" s="88" t="inlineStr">
        <is>
          <t>⬜</t>
        </is>
      </c>
      <c r="R56" s="79" t="inlineStr">
        <is>
          <t>—</t>
        </is>
      </c>
      <c r="S56" s="79" t="inlineStr">
        <is>
          <t>—</t>
        </is>
      </c>
      <c r="T56" s="79" t="inlineStr">
        <is>
          <t>—</t>
        </is>
      </c>
      <c r="U56" s="80" t="inlineStr">
        <is>
          <t>약국/건강 — 독자 상품군</t>
        </is>
      </c>
    </row>
    <row r="57" ht="27.75" customHeight="1" s="72">
      <c r="A57" s="103" t="inlineStr">
        <is>
          <t>🏃 스포츠 / 아웃도어 (Sports) — US 온라인 시장 $15B  [5곳, 교차2]</t>
        </is>
      </c>
    </row>
    <row r="58" ht="21.75" customHeight="1" s="72">
      <c r="A58" s="89" t="n">
        <v>1</v>
      </c>
      <c r="B58" s="90" t="inlineStr">
        <is>
          <t>🏃 스포츠 / 아웃도어 (Sports)</t>
        </is>
      </c>
      <c r="C58" s="89" t="inlineStr">
        <is>
          <t>US</t>
        </is>
      </c>
      <c r="D58" s="91" t="inlineStr">
        <is>
          <t>Amazon</t>
        </is>
      </c>
      <c r="E58" s="92" t="inlineStr">
        <is>
          <t>amazon.com</t>
        </is>
      </c>
      <c r="F58" s="89" t="inlineStr">
        <is>
          <t>40.4%</t>
        </is>
      </c>
      <c r="G58" s="89" t="inlineStr">
        <is>
          <t>~25%</t>
        </is>
      </c>
      <c r="H58" s="89" t="inlineStr">
        <is>
          <t>2.7B</t>
        </is>
      </c>
      <c r="I58" s="89" t="inlineStr">
        <is>
          <t>25-54</t>
        </is>
      </c>
      <c r="J58" s="92" t="inlineStr">
        <is>
          <t>Amazon Associates</t>
        </is>
      </c>
      <c r="K58" s="93" t="inlineStr">
        <is>
          <t>affiliate-program.amazon.com</t>
        </is>
      </c>
      <c r="L58" s="97" t="inlineStr">
        <is>
          <t>✅ Active (RapidAPI)</t>
        </is>
      </c>
      <c r="M58" s="92" t="inlineStr">
        <is>
          <t>3rd Party Scraping</t>
        </is>
      </c>
      <c r="N58" s="92" t="inlineStr">
        <is>
          <t>N/A</t>
        </is>
      </c>
      <c r="O58" s="93" t="inlineStr">
        <is>
          <t>affiliate-program.amazon.com</t>
        </is>
      </c>
      <c r="P58" s="89" t="inlineStr">
        <is>
          <t>★★★</t>
        </is>
      </c>
      <c r="Q58" s="89" t="inlineStr">
        <is>
          <t>✅</t>
        </is>
      </c>
      <c r="R58" s="94" t="inlineStr">
        <is>
          <t>연동완료</t>
        </is>
      </c>
      <c r="S58" s="89" t="inlineStr">
        <is>
          <t>N/A</t>
        </is>
      </c>
      <c r="T58" s="94" t="inlineStr">
        <is>
          <t>✅ 연동됨</t>
        </is>
      </c>
      <c r="U58" s="90" t="inlineStr">
        <is>
          <t>⟲ 교차 — 온라인 스포츠용품 최대</t>
        </is>
      </c>
    </row>
    <row r="59" ht="21.75" customHeight="1" s="72">
      <c r="A59" s="79" t="n">
        <v>2</v>
      </c>
      <c r="B59" s="80" t="inlineStr">
        <is>
          <t>🏃 스포츠 / 아웃도어 (Sports)</t>
        </is>
      </c>
      <c r="C59" s="79" t="inlineStr">
        <is>
          <t>US</t>
        </is>
      </c>
      <c r="D59" s="81" t="inlineStr">
        <is>
          <t>Dick's Sporting Goods</t>
        </is>
      </c>
      <c r="E59" s="82" t="inlineStr">
        <is>
          <t>dickssportinggoods.com</t>
        </is>
      </c>
      <c r="F59" s="79" t="inlineStr">
        <is>
          <t>~0.3%</t>
        </is>
      </c>
      <c r="G59" s="79" t="inlineStr">
        <is>
          <t>~8.7%</t>
        </is>
      </c>
      <c r="H59" s="79" t="inlineStr">
        <is>
          <t>50M</t>
        </is>
      </c>
      <c r="I59" s="79" t="inlineStr">
        <is>
          <t>25-54</t>
        </is>
      </c>
      <c r="J59" s="82" t="inlineStr">
        <is>
          <t>Dick's Affiliate (Impact)</t>
        </is>
      </c>
      <c r="K59" s="83" t="inlineStr">
        <is>
          <t>impact.com</t>
        </is>
      </c>
      <c r="L59" s="80" t="inlineStr">
        <is>
          <t>없음</t>
        </is>
      </c>
      <c r="M59" s="82" t="inlineStr">
        <is>
          <t>No Public API</t>
        </is>
      </c>
      <c r="N59" s="82" t="inlineStr">
        <is>
          <t>DSGAffiliateProgram@dcsg.com</t>
        </is>
      </c>
      <c r="O59" s="83" t="inlineStr">
        <is>
          <t>dickssportinggoods.com/s/contact-us</t>
        </is>
      </c>
      <c r="P59" s="79" t="inlineStr">
        <is>
          <t>★★☆</t>
        </is>
      </c>
      <c r="Q59" s="88" t="inlineStr">
        <is>
          <t>Sent</t>
        </is>
      </c>
      <c r="R59" s="79" t="inlineStr">
        <is>
          <t>2026-03-01</t>
        </is>
      </c>
      <c r="S59" s="79" t="inlineStr">
        <is>
          <t>—</t>
        </is>
      </c>
      <c r="T59" s="79" t="inlineStr">
        <is>
          <t>—</t>
        </is>
      </c>
      <c r="U59" s="80" t="inlineStr">
        <is>
          <t>전문 리테일 1위 $1.3B 온라인</t>
        </is>
      </c>
    </row>
    <row r="60" ht="21.75" customHeight="1" s="72">
      <c r="A60" s="89" t="n">
        <v>3</v>
      </c>
      <c r="B60" s="90" t="inlineStr">
        <is>
          <t>🏃 스포츠 / 아웃도어 (Sports)</t>
        </is>
      </c>
      <c r="C60" s="89" t="inlineStr">
        <is>
          <t>US</t>
        </is>
      </c>
      <c r="D60" s="91" t="inlineStr">
        <is>
          <t>Nike</t>
        </is>
      </c>
      <c r="E60" s="92" t="inlineStr">
        <is>
          <t>nike.com</t>
        </is>
      </c>
      <c r="F60" s="89" t="inlineStr">
        <is>
          <t>~0.5%</t>
        </is>
      </c>
      <c r="G60" s="89" t="inlineStr">
        <is>
          <t>~7.6%</t>
        </is>
      </c>
      <c r="H60" s="89" t="inlineStr">
        <is>
          <t>90M</t>
        </is>
      </c>
      <c r="I60" s="89" t="inlineStr">
        <is>
          <t>18-34</t>
        </is>
      </c>
      <c r="J60" s="92" t="inlineStr">
        <is>
          <t>Nike Affiliate (Awin)</t>
        </is>
      </c>
      <c r="K60" s="93" t="inlineStr">
        <is>
          <t>awin.com</t>
        </is>
      </c>
      <c r="L60" s="90" t="inlineStr">
        <is>
          <t>없음</t>
        </is>
      </c>
      <c r="M60" s="92" t="inlineStr">
        <is>
          <t>No Public API</t>
        </is>
      </c>
      <c r="N60" s="92" t="inlineStr">
        <is>
          <t>N/A</t>
        </is>
      </c>
      <c r="O60" s="93" t="inlineStr">
        <is>
          <t>nike.com/help/a/partner</t>
        </is>
      </c>
      <c r="P60" s="89" t="inlineStr">
        <is>
          <t>★★☆</t>
        </is>
      </c>
      <c r="Q60" s="89" t="inlineStr">
        <is>
          <t>⬜ Affiliate 경유</t>
        </is>
      </c>
      <c r="R60" s="89" t="inlineStr">
        <is>
          <t>—</t>
        </is>
      </c>
      <c r="S60" s="89" t="inlineStr">
        <is>
          <t>—</t>
        </is>
      </c>
      <c r="T60" s="89" t="inlineStr">
        <is>
          <t>—</t>
        </is>
      </c>
      <c r="U60" s="90" t="inlineStr">
        <is>
          <t>⟲ 패션교차 — DTC $11.4B 중 스포츠 | CJ/Rakuten 경유만 가능, 직접이메일 없음</t>
        </is>
      </c>
    </row>
    <row r="61" ht="21.75" customHeight="1" s="72">
      <c r="A61" s="79" t="n">
        <v>4</v>
      </c>
      <c r="B61" s="80" t="inlineStr">
        <is>
          <t>🏃 스포츠 / 아웃도어 (Sports)</t>
        </is>
      </c>
      <c r="C61" s="79" t="inlineStr">
        <is>
          <t>US</t>
        </is>
      </c>
      <c r="D61" s="81" t="inlineStr">
        <is>
          <t>REI</t>
        </is>
      </c>
      <c r="E61" s="82" t="inlineStr">
        <is>
          <t>rei.com</t>
        </is>
      </c>
      <c r="F61" s="79" t="inlineStr">
        <is>
          <t>&lt;0.2%</t>
        </is>
      </c>
      <c r="G61" s="79" t="inlineStr">
        <is>
          <t>~3.3%</t>
        </is>
      </c>
      <c r="H61" s="79" t="inlineStr">
        <is>
          <t>20M</t>
        </is>
      </c>
      <c r="I61" s="79" t="inlineStr">
        <is>
          <t>25-54</t>
        </is>
      </c>
      <c r="J61" s="82" t="inlineStr">
        <is>
          <t>REI Affiliate (Avantlink)</t>
        </is>
      </c>
      <c r="K61" s="83" t="inlineStr">
        <is>
          <t>avantlink.com</t>
        </is>
      </c>
      <c r="L61" s="80" t="inlineStr">
        <is>
          <t>없음</t>
        </is>
      </c>
      <c r="M61" s="82" t="inlineStr">
        <is>
          <t>No Public API</t>
        </is>
      </c>
      <c r="N61" s="82" t="inlineStr">
        <is>
          <t>advertising@rei.com</t>
        </is>
      </c>
      <c r="O61" s="83" t="inlineStr">
        <is>
          <t>rei.com/help/contact-us</t>
        </is>
      </c>
      <c r="P61" s="79" t="inlineStr">
        <is>
          <t>★★☆</t>
        </is>
      </c>
      <c r="Q61" s="88" t="inlineStr">
        <is>
          <t>Sent</t>
        </is>
      </c>
      <c r="R61" s="79" t="inlineStr">
        <is>
          <t>2026-03-01</t>
        </is>
      </c>
      <c r="S61" s="79" t="inlineStr">
        <is>
          <t>—</t>
        </is>
      </c>
      <c r="T61" s="79" t="inlineStr">
        <is>
          <t>—</t>
        </is>
      </c>
      <c r="U61" s="80" t="inlineStr">
        <is>
          <t>아웃도어 전문 — 독자 브랜드 다수</t>
        </is>
      </c>
    </row>
    <row r="62" ht="21.75" customHeight="1" s="72">
      <c r="A62" s="79" t="n">
        <v>5</v>
      </c>
      <c r="B62" s="80" t="inlineStr">
        <is>
          <t>🏃 스포츠 / 아웃도어 (Sports)</t>
        </is>
      </c>
      <c r="C62" s="79" t="inlineStr">
        <is>
          <t>US</t>
        </is>
      </c>
      <c r="D62" s="81" t="inlineStr">
        <is>
          <t>Academy Sports</t>
        </is>
      </c>
      <c r="E62" s="82" t="inlineStr">
        <is>
          <t>academy.com</t>
        </is>
      </c>
      <c r="F62" s="79" t="inlineStr">
        <is>
          <t>&lt;0.2%</t>
        </is>
      </c>
      <c r="G62" s="79" t="inlineStr">
        <is>
          <t>~3%</t>
        </is>
      </c>
      <c r="H62" s="79" t="inlineStr">
        <is>
          <t>15M</t>
        </is>
      </c>
      <c r="I62" s="79" t="inlineStr">
        <is>
          <t>25-54</t>
        </is>
      </c>
      <c r="J62" s="82" t="inlineStr">
        <is>
          <t>Academy Affiliate (CJ)</t>
        </is>
      </c>
      <c r="K62" s="83" t="inlineStr">
        <is>
          <t>cj.com</t>
        </is>
      </c>
      <c r="L62" s="80" t="inlineStr">
        <is>
          <t>없음</t>
        </is>
      </c>
      <c r="M62" s="82" t="inlineStr">
        <is>
          <t>No Public API</t>
        </is>
      </c>
      <c r="N62" s="82" t="inlineStr">
        <is>
          <t>communityrelations@academy.com</t>
        </is>
      </c>
      <c r="O62" s="83" t="inlineStr">
        <is>
          <t>academy.com/customer-service</t>
        </is>
      </c>
      <c r="P62" s="79" t="inlineStr">
        <is>
          <t>★☆☆</t>
        </is>
      </c>
      <c r="Q62" s="88" t="inlineStr">
        <is>
          <t>Sent</t>
        </is>
      </c>
      <c r="R62" s="79" t="inlineStr">
        <is>
          <t>2026-03-01</t>
        </is>
      </c>
      <c r="S62" s="79" t="inlineStr">
        <is>
          <t>—</t>
        </is>
      </c>
      <c r="T62" s="79" t="inlineStr">
        <is>
          <t>—</t>
        </is>
      </c>
      <c r="U62" s="80" t="inlineStr">
        <is>
          <t>전문 리테일 2위 | communityrelations@ = 기부/후원 부서, 전용 파트너십 이메일 없음</t>
        </is>
      </c>
    </row>
    <row r="63" ht="27.75" customHeight="1" s="72">
      <c r="A63" s="104" t="inlineStr">
        <is>
          <t>🐾 반려동물 (Pet) — US 온라인 시장 $21B  [5곳, 교차2]</t>
        </is>
      </c>
    </row>
    <row r="64" ht="21.75" customHeight="1" s="72">
      <c r="A64" s="89" t="n">
        <v>1</v>
      </c>
      <c r="B64" s="90" t="inlineStr">
        <is>
          <t>🐾 반려동물 (Pet)</t>
        </is>
      </c>
      <c r="C64" s="89" t="inlineStr">
        <is>
          <t>US</t>
        </is>
      </c>
      <c r="D64" s="91" t="inlineStr">
        <is>
          <t>Amazon</t>
        </is>
      </c>
      <c r="E64" s="92" t="inlineStr">
        <is>
          <t>amazon.com</t>
        </is>
      </c>
      <c r="F64" s="89" t="inlineStr">
        <is>
          <t>40.4%</t>
        </is>
      </c>
      <c r="G64" s="89" t="inlineStr">
        <is>
          <t>~50%</t>
        </is>
      </c>
      <c r="H64" s="89" t="inlineStr">
        <is>
          <t>2.7B</t>
        </is>
      </c>
      <c r="I64" s="89" t="inlineStr">
        <is>
          <t>25-54</t>
        </is>
      </c>
      <c r="J64" s="92" t="inlineStr">
        <is>
          <t>Amazon Associates</t>
        </is>
      </c>
      <c r="K64" s="93" t="inlineStr">
        <is>
          <t>affiliate-program.amazon.com</t>
        </is>
      </c>
      <c r="L64" s="97" t="inlineStr">
        <is>
          <t>✅ Active (RapidAPI)</t>
        </is>
      </c>
      <c r="M64" s="92" t="inlineStr">
        <is>
          <t>3rd Party Scraping</t>
        </is>
      </c>
      <c r="N64" s="92" t="inlineStr">
        <is>
          <t>N/A</t>
        </is>
      </c>
      <c r="O64" s="93" t="inlineStr">
        <is>
          <t>affiliate-program.amazon.com</t>
        </is>
      </c>
      <c r="P64" s="89" t="inlineStr">
        <is>
          <t>★★★</t>
        </is>
      </c>
      <c r="Q64" s="89" t="inlineStr">
        <is>
          <t>✅</t>
        </is>
      </c>
      <c r="R64" s="94" t="inlineStr">
        <is>
          <t>연동완료</t>
        </is>
      </c>
      <c r="S64" s="89" t="inlineStr">
        <is>
          <t>N/A</t>
        </is>
      </c>
      <c r="T64" s="94" t="inlineStr">
        <is>
          <t>✅ 연동됨</t>
        </is>
      </c>
      <c r="U64" s="90" t="inlineStr">
        <is>
          <t>⟲ 교차 — 매출 점유 ~50%, 이용률 59%</t>
        </is>
      </c>
    </row>
    <row r="65" ht="21.75" customHeight="1" s="72">
      <c r="A65" s="79" t="n">
        <v>2</v>
      </c>
      <c r="B65" s="80" t="inlineStr">
        <is>
          <t>🐾 반려동물 (Pet)</t>
        </is>
      </c>
      <c r="C65" s="79" t="inlineStr">
        <is>
          <t>US</t>
        </is>
      </c>
      <c r="D65" s="81" t="inlineStr">
        <is>
          <t>Chewy</t>
        </is>
      </c>
      <c r="E65" s="82" t="inlineStr">
        <is>
          <t>chewy.com</t>
        </is>
      </c>
      <c r="F65" s="79" t="inlineStr">
        <is>
          <t>~0.5%</t>
        </is>
      </c>
      <c r="G65" s="79" t="inlineStr">
        <is>
          <t>~30%</t>
        </is>
      </c>
      <c r="H65" s="79" t="inlineStr">
        <is>
          <t>45M</t>
        </is>
      </c>
      <c r="I65" s="79" t="inlineStr">
        <is>
          <t>25-44</t>
        </is>
      </c>
      <c r="J65" s="82" t="inlineStr">
        <is>
          <t>Chewy Affiliate (Partnerize)</t>
        </is>
      </c>
      <c r="K65" s="83" t="inlineStr">
        <is>
          <t>partnerize.com</t>
        </is>
      </c>
      <c r="L65" s="80" t="inlineStr">
        <is>
          <t>없음</t>
        </is>
      </c>
      <c r="M65" s="82" t="inlineStr">
        <is>
          <t>No Public API</t>
        </is>
      </c>
      <c r="N65" s="82" t="inlineStr">
        <is>
          <t>affiliates@chewy.com</t>
        </is>
      </c>
      <c r="O65" s="83" t="inlineStr">
        <is>
          <t>chewy.com/app/content/contact</t>
        </is>
      </c>
      <c r="P65" s="79" t="inlineStr">
        <is>
          <t>★★☆</t>
        </is>
      </c>
      <c r="Q65" s="88" t="inlineStr">
        <is>
          <t>Sent</t>
        </is>
      </c>
      <c r="R65" s="79" t="inlineStr">
        <is>
          <t>2026-03-01</t>
        </is>
      </c>
      <c r="S65" s="79" t="inlineStr">
        <is>
          <t>—</t>
        </is>
      </c>
      <c r="T65" s="79" t="inlineStr">
        <is>
          <t>—</t>
        </is>
      </c>
      <c r="U65" s="80" t="inlineStr">
        <is>
          <t>펫 전문 1위 $11.86B (이용률 41%)</t>
        </is>
      </c>
    </row>
    <row r="66" ht="21.75" customHeight="1" s="72">
      <c r="A66" s="89" t="n">
        <v>3</v>
      </c>
      <c r="B66" s="90" t="inlineStr">
        <is>
          <t>🐾 반려동물 (Pet)</t>
        </is>
      </c>
      <c r="C66" s="89" t="inlineStr">
        <is>
          <t>US</t>
        </is>
      </c>
      <c r="D66" s="91" t="inlineStr">
        <is>
          <t>Walmart</t>
        </is>
      </c>
      <c r="E66" s="92" t="inlineStr">
        <is>
          <t>walmart.com</t>
        </is>
      </c>
      <c r="F66" s="89" t="inlineStr">
        <is>
          <t>6.4%</t>
        </is>
      </c>
      <c r="G66" s="89" t="inlineStr">
        <is>
          <t>~10%</t>
        </is>
      </c>
      <c r="H66" s="89" t="inlineStr">
        <is>
          <t>503M</t>
        </is>
      </c>
      <c r="I66" s="89" t="inlineStr">
        <is>
          <t>25-54</t>
        </is>
      </c>
      <c r="J66" s="92" t="inlineStr">
        <is>
          <t>Walmart Affiliate (Impact)</t>
        </is>
      </c>
      <c r="K66" s="93" t="inlineStr">
        <is>
          <t>affiliates.walmart.com</t>
        </is>
      </c>
      <c r="L66" s="97" t="inlineStr">
        <is>
          <t>✅ Active (RapidAPI)</t>
        </is>
      </c>
      <c r="M66" s="92" t="inlineStr">
        <is>
          <t>3rd Party Scraping</t>
        </is>
      </c>
      <c r="N66" s="92" t="inlineStr">
        <is>
          <t>N/A</t>
        </is>
      </c>
      <c r="O66" s="93" t="inlineStr">
        <is>
          <t>affiliates.walmart.com</t>
        </is>
      </c>
      <c r="P66" s="89" t="inlineStr">
        <is>
          <t>★★★</t>
        </is>
      </c>
      <c r="Q66" s="89" t="inlineStr">
        <is>
          <t>✅</t>
        </is>
      </c>
      <c r="R66" s="94" t="inlineStr">
        <is>
          <t>연동완료</t>
        </is>
      </c>
      <c r="S66" s="89" t="inlineStr">
        <is>
          <t>N/A</t>
        </is>
      </c>
      <c r="T66" s="94" t="inlineStr">
        <is>
          <t>✅ 연동됨</t>
        </is>
      </c>
      <c r="U66" s="90" t="inlineStr">
        <is>
          <t>⟲ 교차 — 이용률 33%</t>
        </is>
      </c>
    </row>
    <row r="67" ht="21.75" customHeight="1" s="72">
      <c r="A67" s="79" t="n">
        <v>4</v>
      </c>
      <c r="B67" s="80" t="inlineStr">
        <is>
          <t>🐾 반려동물 (Pet)</t>
        </is>
      </c>
      <c r="C67" s="79" t="inlineStr">
        <is>
          <t>US</t>
        </is>
      </c>
      <c r="D67" s="81" t="inlineStr">
        <is>
          <t>PetSmart</t>
        </is>
      </c>
      <c r="E67" s="82" t="inlineStr">
        <is>
          <t>petsmart.com</t>
        </is>
      </c>
      <c r="F67" s="79" t="inlineStr">
        <is>
          <t>&lt;0.2%</t>
        </is>
      </c>
      <c r="G67" s="79" t="inlineStr">
        <is>
          <t>~4%</t>
        </is>
      </c>
      <c r="H67" s="79" t="inlineStr">
        <is>
          <t>16M</t>
        </is>
      </c>
      <c r="I67" s="79" t="inlineStr">
        <is>
          <t>25-54</t>
        </is>
      </c>
      <c r="J67" s="82" t="inlineStr">
        <is>
          <t>PetSmart Affiliate (CJ)</t>
        </is>
      </c>
      <c r="K67" s="83" t="inlineStr">
        <is>
          <t>cj.com</t>
        </is>
      </c>
      <c r="L67" s="80" t="inlineStr">
        <is>
          <t>없음</t>
        </is>
      </c>
      <c r="M67" s="82" t="inlineStr">
        <is>
          <t>No Public API</t>
        </is>
      </c>
      <c r="N67" s="82" t="inlineStr">
        <is>
          <t>Merchandising2@PetSmart.com</t>
        </is>
      </c>
      <c r="O67" s="83" t="inlineStr">
        <is>
          <t>petsmart.com/help/contact-us</t>
        </is>
      </c>
      <c r="P67" s="79" t="inlineStr">
        <is>
          <t>★☆☆</t>
        </is>
      </c>
      <c r="Q67" s="88" t="inlineStr">
        <is>
          <t>Sent</t>
        </is>
      </c>
      <c r="R67" s="79" t="inlineStr">
        <is>
          <t>2026-03-01</t>
        </is>
      </c>
      <c r="S67" s="79" t="inlineStr">
        <is>
          <t>—</t>
        </is>
      </c>
      <c r="T67" s="79" t="inlineStr">
        <is>
          <t>—</t>
        </is>
      </c>
      <c r="U67" s="80" t="inlineStr">
        <is>
          <t>클릭점유 11.1%</t>
        </is>
      </c>
    </row>
    <row r="68" ht="21.75" customHeight="1" s="72">
      <c r="A68" s="79" t="n">
        <v>5</v>
      </c>
      <c r="B68" s="80" t="inlineStr">
        <is>
          <t>🐾 반려동물 (Pet)</t>
        </is>
      </c>
      <c r="C68" s="79" t="inlineStr">
        <is>
          <t>US</t>
        </is>
      </c>
      <c r="D68" s="81" t="inlineStr">
        <is>
          <t>Petco</t>
        </is>
      </c>
      <c r="E68" s="82" t="inlineStr">
        <is>
          <t>petco.com</t>
        </is>
      </c>
      <c r="F68" s="79" t="inlineStr">
        <is>
          <t>&lt;0.2%</t>
        </is>
      </c>
      <c r="G68" s="79" t="inlineStr">
        <is>
          <t>~4%</t>
        </is>
      </c>
      <c r="H68" s="79" t="inlineStr">
        <is>
          <t>12M</t>
        </is>
      </c>
      <c r="I68" s="79" t="inlineStr">
        <is>
          <t>25-54</t>
        </is>
      </c>
      <c r="J68" s="82" t="inlineStr">
        <is>
          <t>Petco Affiliate (CJ)</t>
        </is>
      </c>
      <c r="K68" s="83" t="inlineStr">
        <is>
          <t>cj.com</t>
        </is>
      </c>
      <c r="L68" s="80" t="inlineStr">
        <is>
          <t>없음</t>
        </is>
      </c>
      <c r="M68" s="82" t="inlineStr">
        <is>
          <t>No Public API</t>
        </is>
      </c>
      <c r="N68" s="82" t="inlineStr">
        <is>
          <t>pressinquiries@petco.com</t>
        </is>
      </c>
      <c r="O68" s="83" t="inlineStr">
        <is>
          <t>petco.com/shop/en/petcostore/help-contact-us</t>
        </is>
      </c>
      <c r="P68" s="79" t="inlineStr">
        <is>
          <t>★☆☆</t>
        </is>
      </c>
      <c r="Q68" s="88" t="inlineStr">
        <is>
          <t>Sent</t>
        </is>
      </c>
      <c r="R68" s="79" t="inlineStr">
        <is>
          <t>2026-03-01</t>
        </is>
      </c>
      <c r="S68" s="79" t="inlineStr">
        <is>
          <t>—</t>
        </is>
      </c>
      <c r="T68" s="79" t="inlineStr">
        <is>
          <t>—</t>
        </is>
      </c>
      <c r="U68" s="80" t="inlineStr">
        <is>
          <t>클릭점유 11.23%</t>
        </is>
      </c>
    </row>
    <row r="69" ht="27.75" customHeight="1" s="72">
      <c r="A69" s="105" t="inlineStr">
        <is>
          <t>🧸 장난감 / 게임 (Toys &amp; Games) — US 온라인 시장 $18B  [5곳, 교차4]</t>
        </is>
      </c>
    </row>
    <row r="70" ht="21.75" customHeight="1" s="72">
      <c r="A70" s="89" t="n">
        <v>1</v>
      </c>
      <c r="B70" s="90" t="inlineStr">
        <is>
          <t>🧸 장난감 / 게임 (Toys &amp; Games)</t>
        </is>
      </c>
      <c r="C70" s="89" t="inlineStr">
        <is>
          <t>US</t>
        </is>
      </c>
      <c r="D70" s="91" t="inlineStr">
        <is>
          <t>Amazon</t>
        </is>
      </c>
      <c r="E70" s="92" t="inlineStr">
        <is>
          <t>amazon.com</t>
        </is>
      </c>
      <c r="F70" s="89" t="inlineStr">
        <is>
          <t>40.4%</t>
        </is>
      </c>
      <c r="G70" s="89" t="inlineStr">
        <is>
          <t>~35%</t>
        </is>
      </c>
      <c r="H70" s="89" t="inlineStr">
        <is>
          <t>2.7B</t>
        </is>
      </c>
      <c r="I70" s="89" t="inlineStr">
        <is>
          <t>25-54</t>
        </is>
      </c>
      <c r="J70" s="92" t="inlineStr">
        <is>
          <t>Amazon Associates</t>
        </is>
      </c>
      <c r="K70" s="93" t="inlineStr">
        <is>
          <t>affiliate-program.amazon.com</t>
        </is>
      </c>
      <c r="L70" s="97" t="inlineStr">
        <is>
          <t>✅ Active (RapidAPI)</t>
        </is>
      </c>
      <c r="M70" s="92" t="inlineStr">
        <is>
          <t>3rd Party Scraping</t>
        </is>
      </c>
      <c r="N70" s="92" t="inlineStr">
        <is>
          <t>N/A</t>
        </is>
      </c>
      <c r="O70" s="93" t="inlineStr">
        <is>
          <t>affiliate-program.amazon.com</t>
        </is>
      </c>
      <c r="P70" s="89" t="inlineStr">
        <is>
          <t>★★★</t>
        </is>
      </c>
      <c r="Q70" s="89" t="inlineStr">
        <is>
          <t>✅</t>
        </is>
      </c>
      <c r="R70" s="94" t="inlineStr">
        <is>
          <t>연동완료</t>
        </is>
      </c>
      <c r="S70" s="89" t="inlineStr">
        <is>
          <t>N/A</t>
        </is>
      </c>
      <c r="T70" s="94" t="inlineStr">
        <is>
          <t>✅ 연동됨</t>
        </is>
      </c>
      <c r="U70" s="90" t="inlineStr">
        <is>
          <t>⟲ 교차 — 장난감 온라인 1위</t>
        </is>
      </c>
    </row>
    <row r="71" ht="21.75" customHeight="1" s="72">
      <c r="A71" s="89" t="n">
        <v>2</v>
      </c>
      <c r="B71" s="90" t="inlineStr">
        <is>
          <t>🧸 장난감 / 게임 (Toys &amp; Games)</t>
        </is>
      </c>
      <c r="C71" s="89" t="inlineStr">
        <is>
          <t>US</t>
        </is>
      </c>
      <c r="D71" s="91" t="inlineStr">
        <is>
          <t>Walmart</t>
        </is>
      </c>
      <c r="E71" s="92" t="inlineStr">
        <is>
          <t>walmart.com</t>
        </is>
      </c>
      <c r="F71" s="89" t="inlineStr">
        <is>
          <t>6.4%</t>
        </is>
      </c>
      <c r="G71" s="89" t="inlineStr">
        <is>
          <t>~25%</t>
        </is>
      </c>
      <c r="H71" s="89" t="inlineStr">
        <is>
          <t>503M</t>
        </is>
      </c>
      <c r="I71" s="89" t="inlineStr">
        <is>
          <t>25-54</t>
        </is>
      </c>
      <c r="J71" s="92" t="inlineStr">
        <is>
          <t>Walmart Affiliate (Impact)</t>
        </is>
      </c>
      <c r="K71" s="93" t="inlineStr">
        <is>
          <t>affiliates.walmart.com</t>
        </is>
      </c>
      <c r="L71" s="97" t="inlineStr">
        <is>
          <t>✅ Active (RapidAPI)</t>
        </is>
      </c>
      <c r="M71" s="92" t="inlineStr">
        <is>
          <t>3rd Party Scraping</t>
        </is>
      </c>
      <c r="N71" s="92" t="inlineStr">
        <is>
          <t>N/A</t>
        </is>
      </c>
      <c r="O71" s="93" t="inlineStr">
        <is>
          <t>affiliates.walmart.com</t>
        </is>
      </c>
      <c r="P71" s="89" t="inlineStr">
        <is>
          <t>★★★</t>
        </is>
      </c>
      <c r="Q71" s="89" t="inlineStr">
        <is>
          <t>✅</t>
        </is>
      </c>
      <c r="R71" s="94" t="inlineStr">
        <is>
          <t>연동완료</t>
        </is>
      </c>
      <c r="S71" s="89" t="inlineStr">
        <is>
          <t>N/A</t>
        </is>
      </c>
      <c r="T71" s="94" t="inlineStr">
        <is>
          <t>✅ 연동됨</t>
        </is>
      </c>
      <c r="U71" s="90" t="inlineStr">
        <is>
          <t>⟲ 교차 — 장난감 2위</t>
        </is>
      </c>
    </row>
    <row r="72" ht="21.75" customHeight="1" s="72">
      <c r="A72" s="89" t="n">
        <v>3</v>
      </c>
      <c r="B72" s="90" t="inlineStr">
        <is>
          <t>🧸 장난감 / 게임 (Toys &amp; Games)</t>
        </is>
      </c>
      <c r="C72" s="89" t="inlineStr">
        <is>
          <t>US</t>
        </is>
      </c>
      <c r="D72" s="91" t="inlineStr">
        <is>
          <t>Target</t>
        </is>
      </c>
      <c r="E72" s="92" t="inlineStr">
        <is>
          <t>target.com</t>
        </is>
      </c>
      <c r="F72" s="89" t="inlineStr">
        <is>
          <t>1.9%</t>
        </is>
      </c>
      <c r="G72" s="89" t="inlineStr">
        <is>
          <t>~10%</t>
        </is>
      </c>
      <c r="H72" s="89" t="inlineStr">
        <is>
          <t>164M</t>
        </is>
      </c>
      <c r="I72" s="89" t="inlineStr">
        <is>
          <t>25-44</t>
        </is>
      </c>
      <c r="J72" s="92" t="inlineStr">
        <is>
          <t>Target Partners (Impact)</t>
        </is>
      </c>
      <c r="K72" s="93" t="inlineStr">
        <is>
          <t>partners.target.com</t>
        </is>
      </c>
      <c r="L72" s="92" t="inlineStr">
        <is>
          <t>❌ 404 Error</t>
        </is>
      </c>
      <c r="M72" s="92" t="inlineStr">
        <is>
          <t>3rd Party (Broken)</t>
        </is>
      </c>
      <c r="N72" s="92" t="inlineStr">
        <is>
          <t>partners@Targetpartnerships.com</t>
        </is>
      </c>
      <c r="O72" s="93" t="inlineStr">
        <is>
          <t>corporate.target.com/about/contact-us</t>
        </is>
      </c>
      <c r="P72" s="89" t="inlineStr">
        <is>
          <t>★★★</t>
        </is>
      </c>
      <c r="Q72" s="89" t="inlineStr">
        <is>
          <t>Sent</t>
        </is>
      </c>
      <c r="R72" s="89" t="inlineStr">
        <is>
          <t>2026-03-01</t>
        </is>
      </c>
      <c r="S72" s="94" t="inlineStr">
        <is>
          <t>대기</t>
        </is>
      </c>
      <c r="T72" s="89" t="inlineStr">
        <is>
          <t>❌ API 깨짐</t>
        </is>
      </c>
      <c r="U72" s="90" t="inlineStr">
        <is>
          <t>⟲ 교차 — 장난감 3위</t>
        </is>
      </c>
    </row>
    <row r="73" ht="21.75" customHeight="1" s="72">
      <c r="A73" s="89" t="n">
        <v>4</v>
      </c>
      <c r="B73" s="90" t="inlineStr">
        <is>
          <t>🧸 장난감 / 게임 (Toys &amp; Games)</t>
        </is>
      </c>
      <c r="C73" s="89" t="inlineStr">
        <is>
          <t>DK</t>
        </is>
      </c>
      <c r="D73" s="91" t="inlineStr">
        <is>
          <t>LEGO</t>
        </is>
      </c>
      <c r="E73" s="92" t="inlineStr">
        <is>
          <t>lego.com</t>
        </is>
      </c>
      <c r="F73" s="89" t="inlineStr">
        <is>
          <t>&lt;0.1%</t>
        </is>
      </c>
      <c r="G73" s="89" t="inlineStr">
        <is>
          <t>11.3%</t>
        </is>
      </c>
      <c r="H73" s="89" t="inlineStr">
        <is>
          <t>20M</t>
        </is>
      </c>
      <c r="I73" s="89" t="inlineStr">
        <is>
          <t>25-44</t>
        </is>
      </c>
      <c r="J73" s="92" t="inlineStr">
        <is>
          <t>LEGO Affiliate (Rakuten)</t>
        </is>
      </c>
      <c r="K73" s="93" t="inlineStr">
        <is>
          <t>rakutenadvertising.com</t>
        </is>
      </c>
      <c r="L73" s="90" t="inlineStr">
        <is>
          <t>없음</t>
        </is>
      </c>
      <c r="M73" s="92" t="inlineStr">
        <is>
          <t>No Public API</t>
        </is>
      </c>
      <c r="N73" s="92" t="inlineStr">
        <is>
          <t>licensing@lego.com</t>
        </is>
      </c>
      <c r="O73" s="93" t="inlineStr">
        <is>
          <t>lego.com/en-us/service</t>
        </is>
      </c>
      <c r="P73" s="89" t="inlineStr">
        <is>
          <t>★☆☆</t>
        </is>
      </c>
      <c r="Q73" s="89" t="inlineStr">
        <is>
          <t>⛔ 제외</t>
        </is>
      </c>
      <c r="R73" s="89" t="inlineStr">
        <is>
          <t>—</t>
        </is>
      </c>
      <c r="S73" s="89" t="inlineStr">
        <is>
          <t>—</t>
        </is>
      </c>
      <c r="T73" s="89" t="inlineStr">
        <is>
          <t>—</t>
        </is>
      </c>
      <c r="U73" s="90" t="inlineStr">
        <is>
          <t>⟲ 글로벌교차 — US 완구시장 1위 브랜드, 3배 차이 | licensing@lego.com 라이센싱팀 — 파트너십 무관</t>
        </is>
      </c>
    </row>
    <row r="74" ht="21.75" customHeight="1" s="72">
      <c r="A74" s="79" t="n">
        <v>5</v>
      </c>
      <c r="B74" s="80" t="inlineStr">
        <is>
          <t>🧸 장난감 / 게임 (Toys &amp; Games)</t>
        </is>
      </c>
      <c r="C74" s="79" t="inlineStr">
        <is>
          <t>US</t>
        </is>
      </c>
      <c r="D74" s="81" t="inlineStr">
        <is>
          <t>GameStop</t>
        </is>
      </c>
      <c r="E74" s="82" t="inlineStr">
        <is>
          <t>gamestop.com</t>
        </is>
      </c>
      <c r="F74" s="79" t="inlineStr">
        <is>
          <t>&lt;0.3%</t>
        </is>
      </c>
      <c r="G74" s="79" t="inlineStr">
        <is>
          <t>~5%</t>
        </is>
      </c>
      <c r="H74" s="79" t="inlineStr">
        <is>
          <t>30M</t>
        </is>
      </c>
      <c r="I74" s="79" t="inlineStr">
        <is>
          <t>18-34</t>
        </is>
      </c>
      <c r="J74" s="82" t="inlineStr">
        <is>
          <t>GameStop Affiliate (Impact)</t>
        </is>
      </c>
      <c r="K74" s="83" t="inlineStr">
        <is>
          <t>impact.com</t>
        </is>
      </c>
      <c r="L74" s="80" t="inlineStr">
        <is>
          <t>없음</t>
        </is>
      </c>
      <c r="M74" s="82" t="inlineStr">
        <is>
          <t>No Public API</t>
        </is>
      </c>
      <c r="N74" s="82" t="inlineStr">
        <is>
          <t>partnerships@gamestop.com</t>
        </is>
      </c>
      <c r="O74" s="83" t="inlineStr">
        <is>
          <t>gamestop.com/contact</t>
        </is>
      </c>
      <c r="P74" s="79" t="inlineStr">
        <is>
          <t>★★☆</t>
        </is>
      </c>
      <c r="Q74" s="88" t="inlineStr">
        <is>
          <t>Sent</t>
        </is>
      </c>
      <c r="R74" s="79" t="inlineStr">
        <is>
          <t>2026-03-01</t>
        </is>
      </c>
      <c r="S74" s="79" t="inlineStr">
        <is>
          <t>—</t>
        </is>
      </c>
      <c r="T74" s="79" t="inlineStr">
        <is>
          <t>—</t>
        </is>
      </c>
      <c r="U74" s="80" t="inlineStr">
        <is>
          <t>게임/콘솔 전문 $5.3B 매출</t>
        </is>
      </c>
    </row>
    <row r="75" ht="27.75" customHeight="1" s="72">
      <c r="A75" s="106" t="inlineStr">
        <is>
          <t>🔧 오피스 / 문구 (Office) — US 온라인 시장 $23B  [3곳, 교차1]</t>
        </is>
      </c>
    </row>
    <row r="76" ht="21.75" customHeight="1" s="72">
      <c r="A76" s="79" t="n">
        <v>1</v>
      </c>
      <c r="B76" s="80" t="inlineStr">
        <is>
          <t>🔧 오피스 / 문구 (Office)</t>
        </is>
      </c>
      <c r="C76" s="79" t="inlineStr">
        <is>
          <t>US</t>
        </is>
      </c>
      <c r="D76" s="81" t="inlineStr">
        <is>
          <t>Staples</t>
        </is>
      </c>
      <c r="E76" s="82" t="inlineStr">
        <is>
          <t>staples.com</t>
        </is>
      </c>
      <c r="F76" s="79" t="inlineStr">
        <is>
          <t>&lt;0.3%</t>
        </is>
      </c>
      <c r="G76" s="79" t="inlineStr">
        <is>
          <t>~30%</t>
        </is>
      </c>
      <c r="H76" s="79" t="inlineStr">
        <is>
          <t>30M</t>
        </is>
      </c>
      <c r="I76" s="79" t="inlineStr">
        <is>
          <t>30-54</t>
        </is>
      </c>
      <c r="J76" s="82" t="inlineStr">
        <is>
          <t>Staples Affiliate (CJ)</t>
        </is>
      </c>
      <c r="K76" s="83" t="inlineStr">
        <is>
          <t>cj.com</t>
        </is>
      </c>
      <c r="L76" s="80" t="inlineStr">
        <is>
          <t>없음</t>
        </is>
      </c>
      <c r="M76" s="82" t="inlineStr">
        <is>
          <t>No Public API</t>
        </is>
      </c>
      <c r="N76" s="82" t="inlineStr">
        <is>
          <t>kevin.dunne@staples.com</t>
        </is>
      </c>
      <c r="O76" s="83" t="inlineStr">
        <is>
          <t>staples.com/sbd/content/about/contactus</t>
        </is>
      </c>
      <c r="P76" s="79" t="inlineStr">
        <is>
          <t>★☆☆</t>
        </is>
      </c>
      <c r="Q76" s="88" t="inlineStr">
        <is>
          <t>Sent</t>
        </is>
      </c>
      <c r="R76" s="79" t="inlineStr">
        <is>
          <t>2026-03-01</t>
        </is>
      </c>
      <c r="S76" s="79" t="inlineStr">
        <is>
          <t>—</t>
        </is>
      </c>
      <c r="T76" s="79" t="inlineStr">
        <is>
          <t>—</t>
        </is>
      </c>
      <c r="U76" s="80" t="inlineStr">
        <is>
          <t>전문몰 47% (온라인 ~$6.9B)</t>
        </is>
      </c>
    </row>
    <row r="77" ht="21.75" customHeight="1" s="72">
      <c r="A77" s="89" t="n">
        <v>2</v>
      </c>
      <c r="B77" s="90" t="inlineStr">
        <is>
          <t>🔧 오피스 / 문구 (Office)</t>
        </is>
      </c>
      <c r="C77" s="89" t="inlineStr">
        <is>
          <t>US</t>
        </is>
      </c>
      <c r="D77" s="91" t="inlineStr">
        <is>
          <t>Amazon</t>
        </is>
      </c>
      <c r="E77" s="92" t="inlineStr">
        <is>
          <t>amazon.com</t>
        </is>
      </c>
      <c r="F77" s="89" t="inlineStr">
        <is>
          <t>40.4%</t>
        </is>
      </c>
      <c r="G77" s="89" t="inlineStr">
        <is>
          <t>~28%</t>
        </is>
      </c>
      <c r="H77" s="89" t="inlineStr">
        <is>
          <t>2.7B</t>
        </is>
      </c>
      <c r="I77" s="89" t="inlineStr">
        <is>
          <t>25-54</t>
        </is>
      </c>
      <c r="J77" s="92" t="inlineStr">
        <is>
          <t>Amazon Associates</t>
        </is>
      </c>
      <c r="K77" s="93" t="inlineStr">
        <is>
          <t>affiliate-program.amazon.com</t>
        </is>
      </c>
      <c r="L77" s="97" t="inlineStr">
        <is>
          <t>✅ Active (RapidAPI)</t>
        </is>
      </c>
      <c r="M77" s="92" t="inlineStr">
        <is>
          <t>3rd Party Scraping</t>
        </is>
      </c>
      <c r="N77" s="92" t="inlineStr">
        <is>
          <t>N/A</t>
        </is>
      </c>
      <c r="O77" s="93" t="inlineStr">
        <is>
          <t>affiliate-program.amazon.com</t>
        </is>
      </c>
      <c r="P77" s="89" t="inlineStr">
        <is>
          <t>★★★</t>
        </is>
      </c>
      <c r="Q77" s="89" t="inlineStr">
        <is>
          <t>✅</t>
        </is>
      </c>
      <c r="R77" s="94" t="inlineStr">
        <is>
          <t>연동완료</t>
        </is>
      </c>
      <c r="S77" s="89" t="inlineStr">
        <is>
          <t>N/A</t>
        </is>
      </c>
      <c r="T77" s="94" t="inlineStr">
        <is>
          <t>✅ 연동됨</t>
        </is>
      </c>
      <c r="U77" s="90" t="inlineStr">
        <is>
          <t>⟲ 교차 — Amazon Business 포함</t>
        </is>
      </c>
    </row>
    <row r="78" ht="21.75" customHeight="1" s="72">
      <c r="A78" s="79" t="n">
        <v>3</v>
      </c>
      <c r="B78" s="80" t="inlineStr">
        <is>
          <t>🔧 오피스 / 문구 (Office)</t>
        </is>
      </c>
      <c r="C78" s="79" t="inlineStr">
        <is>
          <t>US</t>
        </is>
      </c>
      <c r="D78" s="81" t="inlineStr">
        <is>
          <t>Office Depot</t>
        </is>
      </c>
      <c r="E78" s="82" t="inlineStr">
        <is>
          <t>officedepot.com</t>
        </is>
      </c>
      <c r="F78" s="79" t="inlineStr">
        <is>
          <t>&lt;0.2%</t>
        </is>
      </c>
      <c r="G78" s="79" t="inlineStr">
        <is>
          <t>~22%</t>
        </is>
      </c>
      <c r="H78" s="79" t="inlineStr">
        <is>
          <t>20M</t>
        </is>
      </c>
      <c r="I78" s="79" t="inlineStr">
        <is>
          <t>30-54</t>
        </is>
      </c>
      <c r="J78" s="82" t="inlineStr">
        <is>
          <t>Office Depot Affiliate (CJ)</t>
        </is>
      </c>
      <c r="K78" s="83" t="inlineStr">
        <is>
          <t>cj.com</t>
        </is>
      </c>
      <c r="L78" s="80" t="inlineStr">
        <is>
          <t>없음</t>
        </is>
      </c>
      <c r="M78" s="82" t="inlineStr">
        <is>
          <t>No Public API</t>
        </is>
      </c>
      <c r="N78" s="82" t="inlineStr">
        <is>
          <t>CJ 네트워크 경유 (officedepotaffs@cj.com)</t>
        </is>
      </c>
      <c r="O78" s="83" t="inlineStr">
        <is>
          <t>officedepot.com/cm/help/contact-us</t>
        </is>
      </c>
      <c r="P78" s="79" t="inlineStr">
        <is>
          <t>★☆☆</t>
        </is>
      </c>
      <c r="Q78" s="88" t="inlineStr">
        <is>
          <t>⬜ Affiliate 경유</t>
        </is>
      </c>
      <c r="R78" s="79" t="inlineStr">
        <is>
          <t>2026-03-01</t>
        </is>
      </c>
      <c r="S78" s="79" t="inlineStr">
        <is>
          <t>—</t>
        </is>
      </c>
      <c r="T78" s="79" t="inlineStr">
        <is>
          <t>—</t>
        </is>
      </c>
      <c r="U78" s="82" t="inlineStr">
        <is>
          <t>ODP Corp — 전문몰 36% | vendordiversity@ 바운스, CJ 경유만 가능</t>
        </is>
      </c>
    </row>
    <row r="79" ht="27.75" customHeight="1" s="72">
      <c r="A79" s="107" t="inlineStr">
        <is>
          <t>🌍 글로벌 (Cross-border) — US 온라인 시장 크로스보더  [9곳]</t>
        </is>
      </c>
    </row>
    <row r="80" ht="21.75" customHeight="1" s="72">
      <c r="A80" s="79" t="n">
        <v>1</v>
      </c>
      <c r="B80" s="80" t="inlineStr">
        <is>
          <t>🌍 글로벌 (Cross-border)</t>
        </is>
      </c>
      <c r="C80" s="79" t="inlineStr">
        <is>
          <t>CN</t>
        </is>
      </c>
      <c r="D80" s="81" t="inlineStr">
        <is>
          <t>AliExpress</t>
        </is>
      </c>
      <c r="E80" s="82" t="inlineStr">
        <is>
          <t>aliexpress.com</t>
        </is>
      </c>
      <c r="F80" s="79" t="inlineStr">
        <is>
          <t>~0.8%</t>
        </is>
      </c>
      <c r="G80" s="79" t="inlineStr">
        <is>
          <t>~0.8%</t>
        </is>
      </c>
      <c r="H80" s="79" t="inlineStr">
        <is>
          <t>100M+</t>
        </is>
      </c>
      <c r="I80" s="79" t="inlineStr">
        <is>
          <t>18-34</t>
        </is>
      </c>
      <c r="J80" s="82" t="inlineStr">
        <is>
          <t>AliExpress Portals</t>
        </is>
      </c>
      <c r="K80" s="83" t="inlineStr">
        <is>
          <t>portals.aliexpress.com</t>
        </is>
      </c>
      <c r="L80" s="84" t="inlineStr">
        <is>
          <t>✅ Active (RapidAPI)</t>
        </is>
      </c>
      <c r="M80" s="82" t="inlineStr">
        <is>
          <t>Affiliate API</t>
        </is>
      </c>
      <c r="N80" s="82" t="inlineStr">
        <is>
          <t>N/A</t>
        </is>
      </c>
      <c r="O80" s="83" t="inlineStr">
        <is>
          <t>portals.aliexpress.com</t>
        </is>
      </c>
      <c r="P80" s="79" t="inlineStr">
        <is>
          <t>★★★</t>
        </is>
      </c>
      <c r="Q80" s="85" t="inlineStr">
        <is>
          <t>✅</t>
        </is>
      </c>
      <c r="R80" s="86" t="inlineStr">
        <is>
          <t>연동완료</t>
        </is>
      </c>
      <c r="S80" s="79" t="inlineStr">
        <is>
          <t>N/A</t>
        </is>
      </c>
      <c r="T80" s="87" t="inlineStr">
        <is>
          <t>✅ 연동됨</t>
        </is>
      </c>
      <c r="U80" s="82" t="inlineStr">
        <is>
          <t>POTAL Global Provider — US $9.6B (관세 영향↓)</t>
        </is>
      </c>
    </row>
    <row r="81" ht="21.75" customHeight="1" s="72">
      <c r="A81" s="79" t="n">
        <v>2</v>
      </c>
      <c r="B81" s="80" t="inlineStr">
        <is>
          <t>🌍 글로벌 (Cross-border)</t>
        </is>
      </c>
      <c r="C81" s="79" t="inlineStr">
        <is>
          <t>CN</t>
        </is>
      </c>
      <c r="D81" s="81" t="inlineStr">
        <is>
          <t>Temu</t>
        </is>
      </c>
      <c r="E81" s="82" t="inlineStr">
        <is>
          <t>temu.com</t>
        </is>
      </c>
      <c r="F81" s="79" t="inlineStr">
        <is>
          <t>~1.3%</t>
        </is>
      </c>
      <c r="G81" s="79" t="inlineStr">
        <is>
          <t>~1.3%</t>
        </is>
      </c>
      <c r="H81" s="79" t="inlineStr">
        <is>
          <t>200M+</t>
        </is>
      </c>
      <c r="I81" s="79" t="inlineStr">
        <is>
          <t>18-34</t>
        </is>
      </c>
      <c r="J81" s="82" t="inlineStr">
        <is>
          <t>Temu Affiliate</t>
        </is>
      </c>
      <c r="K81" s="83" t="inlineStr">
        <is>
          <t>affiliate.temu.com</t>
        </is>
      </c>
      <c r="L81" s="82" t="inlineStr">
        <is>
          <t>⏳ Pending</t>
        </is>
      </c>
      <c r="M81" s="82" t="inlineStr">
        <is>
          <t>No Public API</t>
        </is>
      </c>
      <c r="N81" s="82" t="inlineStr">
        <is>
          <t>N/A</t>
        </is>
      </c>
      <c r="O81" s="83" t="inlineStr">
        <is>
          <t>affiliate.temu.com</t>
        </is>
      </c>
      <c r="P81" s="79" t="inlineStr">
        <is>
          <t>★★★</t>
        </is>
      </c>
      <c r="Q81" s="108" t="inlineStr">
        <is>
          <t>⏳</t>
        </is>
      </c>
      <c r="R81" s="79" t="inlineStr">
        <is>
          <t>—</t>
        </is>
      </c>
      <c r="S81" s="79" t="inlineStr">
        <is>
          <t>—</t>
        </is>
      </c>
      <c r="T81" s="86" t="inlineStr">
        <is>
          <t>⏳ 대기</t>
        </is>
      </c>
      <c r="U81" s="82" t="inlineStr">
        <is>
          <t>US $17B — 디스카운트/종합 경쟁 (관세 리스크)</t>
        </is>
      </c>
    </row>
    <row r="82" ht="21.75" customHeight="1" s="72">
      <c r="A82" s="79" t="n">
        <v>3</v>
      </c>
      <c r="B82" s="80" t="inlineStr">
        <is>
          <t>🌍 글로벌 (Cross-border)</t>
        </is>
      </c>
      <c r="C82" s="79" t="inlineStr">
        <is>
          <t>CN</t>
        </is>
      </c>
      <c r="D82" s="81" t="inlineStr">
        <is>
          <t>Shein</t>
        </is>
      </c>
      <c r="E82" s="82" t="inlineStr">
        <is>
          <t>shein.com</t>
        </is>
      </c>
      <c r="F82" s="79" t="inlineStr">
        <is>
          <t>~1.0%</t>
        </is>
      </c>
      <c r="G82" s="79" t="inlineStr">
        <is>
          <t>~1.0%</t>
        </is>
      </c>
      <c r="H82" s="79" t="inlineStr">
        <is>
          <t>71M</t>
        </is>
      </c>
      <c r="I82" s="79" t="inlineStr">
        <is>
          <t>16-34</t>
        </is>
      </c>
      <c r="J82" s="82" t="inlineStr">
        <is>
          <t>Shein Affiliate (CJ)</t>
        </is>
      </c>
      <c r="K82" s="83" t="inlineStr">
        <is>
          <t>cj.com</t>
        </is>
      </c>
      <c r="L82" s="82" t="inlineStr">
        <is>
          <t>❌ Server Down</t>
        </is>
      </c>
      <c r="M82" s="82" t="inlineStr">
        <is>
          <t>RapidAPI (Down)</t>
        </is>
      </c>
      <c r="N82" s="82" t="inlineStr">
        <is>
          <t>N/A</t>
        </is>
      </c>
      <c r="O82" s="83" t="inlineStr">
        <is>
          <t>shein.com/contact-us</t>
        </is>
      </c>
      <c r="P82" s="79" t="inlineStr">
        <is>
          <t>★★☆</t>
        </is>
      </c>
      <c r="Q82" s="100" t="inlineStr">
        <is>
          <t>❌</t>
        </is>
      </c>
      <c r="R82" s="79" t="inlineStr">
        <is>
          <t>—</t>
        </is>
      </c>
      <c r="S82" s="79" t="inlineStr">
        <is>
          <t>—</t>
        </is>
      </c>
      <c r="T82" s="86" t="inlineStr">
        <is>
          <t>❌ 서버 다운</t>
        </is>
      </c>
      <c r="U82" s="82" t="inlineStr">
        <is>
          <t>US $11.4B — 패스트패션 50% 점유 (RapidAPI 다운)</t>
        </is>
      </c>
    </row>
    <row r="83" ht="21.75" customHeight="1" s="72">
      <c r="A83" s="79" t="n">
        <v>4</v>
      </c>
      <c r="B83" s="80" t="inlineStr">
        <is>
          <t>🌍 글로벌 (Cross-border)</t>
        </is>
      </c>
      <c r="C83" s="79" t="inlineStr">
        <is>
          <t>SE</t>
        </is>
      </c>
      <c r="D83" s="81" t="inlineStr">
        <is>
          <t>IKEA</t>
        </is>
      </c>
      <c r="E83" s="82" t="inlineStr">
        <is>
          <t>ikea.com/us</t>
        </is>
      </c>
      <c r="F83" s="79" t="inlineStr">
        <is>
          <t>&lt;0.2%</t>
        </is>
      </c>
      <c r="G83" s="79" t="inlineStr">
        <is>
          <t>&lt;0.2%</t>
        </is>
      </c>
      <c r="H83" s="79" t="inlineStr">
        <is>
          <t>80M</t>
        </is>
      </c>
      <c r="I83" s="79" t="inlineStr">
        <is>
          <t>25-44</t>
        </is>
      </c>
      <c r="J83" s="82" t="inlineStr">
        <is>
          <t>IKEA Affiliate (Awin)</t>
        </is>
      </c>
      <c r="K83" s="83" t="inlineStr">
        <is>
          <t>awin.com</t>
        </is>
      </c>
      <c r="L83" s="80" t="inlineStr">
        <is>
          <t>없음</t>
        </is>
      </c>
      <c r="M83" s="82" t="inlineStr">
        <is>
          <t>No Public API</t>
        </is>
      </c>
      <c r="N83" s="82" t="inlineStr">
        <is>
          <t>N/A</t>
        </is>
      </c>
      <c r="O83" s="83" t="inlineStr">
        <is>
          <t>ikea.com/us/en/customer-service/contact-us</t>
        </is>
      </c>
      <c r="P83" s="79" t="inlineStr">
        <is>
          <t>★★☆</t>
        </is>
      </c>
      <c r="Q83" s="88" t="inlineStr">
        <is>
          <t>⬜</t>
        </is>
      </c>
      <c r="R83" s="79" t="inlineStr">
        <is>
          <t>—</t>
        </is>
      </c>
      <c r="S83" s="79" t="inlineStr">
        <is>
          <t>—</t>
        </is>
      </c>
      <c r="T83" s="79" t="inlineStr">
        <is>
          <t>—</t>
        </is>
      </c>
      <c r="U83" s="82" t="inlineStr">
        <is>
          <t>US e-com $1.9B / 총 $5.5B — 자사몰 독점</t>
        </is>
      </c>
    </row>
    <row r="84" ht="21.75" customHeight="1" s="72">
      <c r="A84" s="79" t="n">
        <v>5</v>
      </c>
      <c r="B84" s="80" t="inlineStr">
        <is>
          <t>🌍 글로벌 (Cross-border)</t>
        </is>
      </c>
      <c r="C84" s="79" t="inlineStr">
        <is>
          <t>SE</t>
        </is>
      </c>
      <c r="D84" s="81" t="inlineStr">
        <is>
          <t>H&amp;M</t>
        </is>
      </c>
      <c r="E84" s="82" t="inlineStr">
        <is>
          <t>hm.com</t>
        </is>
      </c>
      <c r="F84" s="79" t="inlineStr">
        <is>
          <t>~0.2%</t>
        </is>
      </c>
      <c r="G84" s="79" t="inlineStr">
        <is>
          <t>~0.2%</t>
        </is>
      </c>
      <c r="H84" s="79" t="inlineStr">
        <is>
          <t>96M</t>
        </is>
      </c>
      <c r="I84" s="79" t="inlineStr">
        <is>
          <t>18-34</t>
        </is>
      </c>
      <c r="J84" s="82" t="inlineStr">
        <is>
          <t>H&amp;M Affiliate (Awin)</t>
        </is>
      </c>
      <c r="K84" s="83" t="inlineStr">
        <is>
          <t>awin.com</t>
        </is>
      </c>
      <c r="L84" s="80" t="inlineStr">
        <is>
          <t>없음</t>
        </is>
      </c>
      <c r="M84" s="82" t="inlineStr">
        <is>
          <t>No Public API</t>
        </is>
      </c>
      <c r="N84" s="82" t="inlineStr">
        <is>
          <t>mediarelations@hm.com</t>
        </is>
      </c>
      <c r="O84" s="83" t="inlineStr">
        <is>
          <t>hmgroup.com/about-us/contact</t>
        </is>
      </c>
      <c r="P84" s="79" t="inlineStr">
        <is>
          <t>★☆☆</t>
        </is>
      </c>
      <c r="Q84" s="88" t="inlineStr">
        <is>
          <t>Sent</t>
        </is>
      </c>
      <c r="R84" s="79" t="inlineStr">
        <is>
          <t>2026-03-01</t>
        </is>
      </c>
      <c r="S84" s="79" t="inlineStr">
        <is>
          <t>—</t>
        </is>
      </c>
      <c r="T84" s="79" t="inlineStr">
        <is>
          <t>—</t>
        </is>
      </c>
      <c r="U84" s="82" t="inlineStr">
        <is>
          <t>US $2.3B — 패스트패션 16%</t>
        </is>
      </c>
    </row>
    <row r="85" ht="21.75" customHeight="1" s="72">
      <c r="A85" s="79" t="n">
        <v>6</v>
      </c>
      <c r="B85" s="80" t="inlineStr">
        <is>
          <t>🌍 글로벌 (Cross-border)</t>
        </is>
      </c>
      <c r="C85" s="79" t="inlineStr">
        <is>
          <t>ES</t>
        </is>
      </c>
      <c r="D85" s="81" t="inlineStr">
        <is>
          <t>Zara</t>
        </is>
      </c>
      <c r="E85" s="82" t="inlineStr">
        <is>
          <t>zara.com</t>
        </is>
      </c>
      <c r="F85" s="79" t="inlineStr">
        <is>
          <t>&lt;0.2%</t>
        </is>
      </c>
      <c r="G85" s="79" t="inlineStr">
        <is>
          <t>&lt;0.2%</t>
        </is>
      </c>
      <c r="H85" s="79" t="inlineStr">
        <is>
          <t>92M</t>
        </is>
      </c>
      <c r="I85" s="79" t="inlineStr">
        <is>
          <t>18-34</t>
        </is>
      </c>
      <c r="J85" s="80" t="inlineStr">
        <is>
          <t>없음</t>
        </is>
      </c>
      <c r="K85" s="83" t="inlineStr">
        <is>
          <t>N/A</t>
        </is>
      </c>
      <c r="L85" s="80" t="inlineStr">
        <is>
          <t>없음</t>
        </is>
      </c>
      <c r="M85" s="82" t="inlineStr">
        <is>
          <t>No API</t>
        </is>
      </c>
      <c r="N85" s="82" t="inlineStr">
        <is>
          <t>N/A</t>
        </is>
      </c>
      <c r="O85" s="83" t="inlineStr">
        <is>
          <t>zara.com/us/en/contact</t>
        </is>
      </c>
      <c r="P85" s="79" t="inlineStr">
        <is>
          <t>★☆☆</t>
        </is>
      </c>
      <c r="Q85" s="88" t="inlineStr">
        <is>
          <t>⬜</t>
        </is>
      </c>
      <c r="R85" s="79" t="inlineStr">
        <is>
          <t>—</t>
        </is>
      </c>
      <c r="S85" s="79" t="inlineStr">
        <is>
          <t>—</t>
        </is>
      </c>
      <c r="T85" s="79" t="inlineStr">
        <is>
          <t>—</t>
        </is>
      </c>
      <c r="U85" s="82" t="inlineStr">
        <is>
          <t>US $1.9B — 패스트패션 13%, API 없음</t>
        </is>
      </c>
    </row>
    <row r="86" ht="21.75" customHeight="1" s="72">
      <c r="A86" s="79" t="n">
        <v>7</v>
      </c>
      <c r="B86" s="80" t="inlineStr">
        <is>
          <t>🌍 글로벌 (Cross-border)</t>
        </is>
      </c>
      <c r="C86" s="79" t="inlineStr">
        <is>
          <t>UK</t>
        </is>
      </c>
      <c r="D86" s="81" t="inlineStr">
        <is>
          <t>ASOS</t>
        </is>
      </c>
      <c r="E86" s="82" t="inlineStr">
        <is>
          <t>asos.com</t>
        </is>
      </c>
      <c r="F86" s="79" t="inlineStr">
        <is>
          <t>&lt;0.1%</t>
        </is>
      </c>
      <c r="G86" s="79" t="inlineStr">
        <is>
          <t>&lt;0.1%</t>
        </is>
      </c>
      <c r="H86" s="79" t="inlineStr">
        <is>
          <t>60M</t>
        </is>
      </c>
      <c r="I86" s="79" t="inlineStr">
        <is>
          <t>18-34</t>
        </is>
      </c>
      <c r="J86" s="82" t="inlineStr">
        <is>
          <t>ASOS Affiliate (Rakuten)</t>
        </is>
      </c>
      <c r="K86" s="83" t="inlineStr">
        <is>
          <t>rakutenadvertising.com</t>
        </is>
      </c>
      <c r="L86" s="80" t="inlineStr">
        <is>
          <t>없음</t>
        </is>
      </c>
      <c r="M86" s="82" t="inlineStr">
        <is>
          <t>No Public API</t>
        </is>
      </c>
      <c r="N86" s="82" t="inlineStr">
        <is>
          <t>Awin 네트워크 경유</t>
        </is>
      </c>
      <c r="O86" s="83" t="inlineStr">
        <is>
          <t>asos.com/customer-care/contact</t>
        </is>
      </c>
      <c r="P86" s="79" t="inlineStr">
        <is>
          <t>★☆☆</t>
        </is>
      </c>
      <c r="Q86" s="88" t="inlineStr">
        <is>
          <t>⬜ Affiliate 경유</t>
        </is>
      </c>
      <c r="R86" s="79" t="inlineStr">
        <is>
          <t>2026-03-01</t>
        </is>
      </c>
      <c r="S86" s="79" t="inlineStr">
        <is>
          <t>—</t>
        </is>
      </c>
      <c r="T86" s="79" t="inlineStr">
        <is>
          <t>—</t>
        </is>
      </c>
      <c r="U86" s="82" t="inlineStr">
        <is>
          <t>US $500M — UK기반 글로벌 패션 (US 매출 -28%) | gavina@asos.com 바운스, Awin 경유만 가능</t>
        </is>
      </c>
    </row>
    <row r="87" ht="21.75" customHeight="1" s="72">
      <c r="A87" s="79" t="n">
        <v>8</v>
      </c>
      <c r="B87" s="80" t="inlineStr">
        <is>
          <t>🌍 글로벌 (Cross-border)</t>
        </is>
      </c>
      <c r="C87" s="79" t="inlineStr">
        <is>
          <t>DK</t>
        </is>
      </c>
      <c r="D87" s="81" t="inlineStr">
        <is>
          <t>LEGO</t>
        </is>
      </c>
      <c r="E87" s="82" t="inlineStr">
        <is>
          <t>lego.com</t>
        </is>
      </c>
      <c r="F87" s="79" t="inlineStr">
        <is>
          <t>&lt;0.1%</t>
        </is>
      </c>
      <c r="G87" s="79" t="inlineStr">
        <is>
          <t>&lt;0.1%</t>
        </is>
      </c>
      <c r="H87" s="79" t="inlineStr">
        <is>
          <t>20M</t>
        </is>
      </c>
      <c r="I87" s="79" t="inlineStr">
        <is>
          <t>25-44</t>
        </is>
      </c>
      <c r="J87" s="82" t="inlineStr">
        <is>
          <t>LEGO Affiliate (Rakuten)</t>
        </is>
      </c>
      <c r="K87" s="83" t="inlineStr">
        <is>
          <t>rakutenadvertising.com</t>
        </is>
      </c>
      <c r="L87" s="80" t="inlineStr">
        <is>
          <t>없음</t>
        </is>
      </c>
      <c r="M87" s="82" t="inlineStr">
        <is>
          <t>No Public API</t>
        </is>
      </c>
      <c r="N87" s="82" t="inlineStr">
        <is>
          <t>licensing@lego.com</t>
        </is>
      </c>
      <c r="O87" s="83" t="inlineStr">
        <is>
          <t>lego.com/en-us/service</t>
        </is>
      </c>
      <c r="P87" s="79" t="inlineStr">
        <is>
          <t>★☆☆</t>
        </is>
      </c>
      <c r="Q87" s="88" t="inlineStr">
        <is>
          <t>⛔ 제외</t>
        </is>
      </c>
      <c r="R87" s="79" t="inlineStr">
        <is>
          <t>—</t>
        </is>
      </c>
      <c r="S87" s="79" t="inlineStr">
        <is>
          <t>—</t>
        </is>
      </c>
      <c r="T87" s="79" t="inlineStr">
        <is>
          <t>—</t>
        </is>
      </c>
      <c r="U87" s="82" t="inlineStr">
        <is>
          <t>US 완구시장 11.3% — 한정판 자사몰 독점 | licensing@lego.com 라이센싱팀 — 파트너십 무관</t>
        </is>
      </c>
    </row>
    <row r="88" ht="21.75" customHeight="1" s="72">
      <c r="A88" s="79" t="n">
        <v>9</v>
      </c>
      <c r="B88" s="80" t="inlineStr">
        <is>
          <t>🌍 글로벌 (Cross-border)</t>
        </is>
      </c>
      <c r="C88" s="79" t="inlineStr">
        <is>
          <t>HK</t>
        </is>
      </c>
      <c r="D88" s="81" t="inlineStr">
        <is>
          <t>YesStyle</t>
        </is>
      </c>
      <c r="E88" s="82" t="inlineStr">
        <is>
          <t>yesstyle.com</t>
        </is>
      </c>
      <c r="F88" s="79" t="inlineStr">
        <is>
          <t>&lt;0.1%</t>
        </is>
      </c>
      <c r="G88" s="79" t="inlineStr">
        <is>
          <t>&lt;0.1%</t>
        </is>
      </c>
      <c r="H88" s="79" t="inlineStr">
        <is>
          <t>5M</t>
        </is>
      </c>
      <c r="I88" s="79" t="inlineStr">
        <is>
          <t>18-34</t>
        </is>
      </c>
      <c r="J88" s="82" t="inlineStr">
        <is>
          <t>YesStyle Affiliate</t>
        </is>
      </c>
      <c r="K88" s="83" t="inlineStr">
        <is>
          <t>yesstyle.com/affiliate-program</t>
        </is>
      </c>
      <c r="L88" s="80" t="inlineStr">
        <is>
          <t>없음</t>
        </is>
      </c>
      <c r="M88" s="82" t="inlineStr">
        <is>
          <t>No Public API</t>
        </is>
      </c>
      <c r="N88" s="82" t="inlineStr">
        <is>
          <t>ys-affiliates@yesstyle.com</t>
        </is>
      </c>
      <c r="O88" s="83" t="inlineStr">
        <is>
          <t>yesstyle.com/affiliate-program</t>
        </is>
      </c>
      <c r="P88" s="79" t="inlineStr">
        <is>
          <t>★☆☆</t>
        </is>
      </c>
      <c r="Q88" s="88" t="inlineStr">
        <is>
          <t>Sent</t>
        </is>
      </c>
      <c r="R88" s="79" t="inlineStr">
        <is>
          <t>2026-03-01</t>
        </is>
      </c>
      <c r="S88" s="79" t="inlineStr">
        <is>
          <t>—</t>
        </is>
      </c>
      <c r="T88" s="79" t="inlineStr">
        <is>
          <t>—</t>
        </is>
      </c>
      <c r="U88" s="82" t="inlineStr">
        <is>
          <t>US $138M — 아시안 뷰티/K-beauty 전문 | 재발송: affiliates@ 바운스 → ys-affiliates@ 성공</t>
        </is>
      </c>
    </row>
    <row r="89"/>
    <row r="90" ht="15.75" customHeight="1" s="72">
      <c r="A90" s="109" t="inlineStr">
        <is>
          <t>📊 요약 Summary</t>
        </is>
      </c>
    </row>
    <row r="91" ht="12" customHeight="1" s="72">
      <c r="A91" s="110" t="inlineStr">
        <is>
          <t>고유 쇼핑몰: 46곳 | 교차 표기 26건 포함 총 72행</t>
        </is>
      </c>
    </row>
    <row r="92" ht="12" customHeight="1" s="72">
      <c r="A92" s="110" t="inlineStr">
        <is>
          <t>이메일 발송: 15곳 | 미발송: 28곳 | POTAL 연동: 4개 | API 가용: 6개</t>
        </is>
      </c>
    </row>
    <row r="93" ht="15" customHeight="1" s="72">
      <c r="A93" s="110" t="n"/>
    </row>
    <row r="94" ht="12" customHeight="1" s="72">
      <c r="A94" s="111" t="inlineStr">
        <is>
          <t>📌 v5 업데이트 (글로벌 스토어 US % 반영):</t>
        </is>
      </c>
    </row>
    <row r="95" ht="12" customHeight="1" s="72">
      <c r="A95" s="110" t="inlineStr">
        <is>
          <t xml:space="preserve">   • 글로벌 스토어 US 이커머스 시장점유율 실제 % 적용 (AliExpress ~0.8%, Temu ~1.3%, Shein ~1.0%)</t>
        </is>
      </c>
    </row>
    <row r="96" ht="12" customHeight="1" s="72">
      <c r="A96" s="110" t="inlineStr">
        <is>
          <t xml:space="preserve">   • 글로벌 스토어 → US 카테고리 교차 추가 (Shein→패션 5.1%, IKEA→홈 1.0%, H&amp;M→패션 1.4%, Zara→패션 1.2%, LEGO→완구 11.3%, Temu→종합 1.3%)</t>
        </is>
      </c>
    </row>
    <row r="97" ht="12" customHeight="1" s="72">
      <c r="A97" s="110" t="inlineStr">
        <is>
          <t xml:space="preserve">   • 저가치 글로벌 스토어 5곳 제외 (Banggood, DHgate, Wish, Mercari, Farfetch)</t>
        </is>
      </c>
    </row>
    <row r="98" ht="15" customHeight="1" s="72">
      <c r="A98" s="111" t="n"/>
    </row>
    <row r="99" ht="12" customHeight="1" s="72">
      <c r="A99" s="110" t="inlineStr">
        <is>
          <t>📌 카테고리별 시장 규모 (US 온라인, 2024):</t>
        </is>
      </c>
    </row>
    <row r="100" ht="12" customHeight="1" s="72">
      <c r="A100" s="110" t="inlineStr">
        <is>
          <t xml:space="preserve">   전체 이커머스 $1,190B | 그로서리 $205B | 홈/가구 $182B | 패션 $159.4B | 전자제품 $120B</t>
        </is>
      </c>
    </row>
    <row r="101" ht="12" customHeight="1" s="72">
      <c r="A101" s="110" t="inlineStr">
        <is>
          <t xml:space="preserve">   뷰티/건강 $61B | 오피스 $23B | 펫 $21B | 장난감 $18B | 스포츠 $15B</t>
        </is>
      </c>
    </row>
    <row r="102" ht="15" customHeight="1" s="72">
      <c r="A102" s="111" t="n"/>
    </row>
    <row r="103" ht="12" customHeight="1" s="72">
      <c r="A103" s="110" t="inlineStr">
        <is>
          <t>📌 카테고리별 1위 점유율 (2024):</t>
        </is>
      </c>
    </row>
    <row r="104" ht="12" customHeight="1" s="72">
      <c r="A104" s="110" t="inlineStr">
        <is>
          <t xml:space="preserve">   종합: Amazon 40.4% | 전자: Best Buy 31.8% | 패션: Amazon 21.8% | 홈: Home Depot 12.4%</t>
        </is>
      </c>
    </row>
    <row r="105" ht="12" customHeight="1" s="72">
      <c r="A105" s="110" t="inlineStr">
        <is>
          <t xml:space="preserve">   그로서리: Walmart 31.6% | 뷰티: Amazon ~15% | 스포츠: Amazon ~25% | 펫: Amazon ~50%</t>
        </is>
      </c>
    </row>
    <row r="106" ht="12" customHeight="1" s="72">
      <c r="A106" s="110" t="inlineStr">
        <is>
          <t xml:space="preserve">   장난감: Amazon ~35% | 오피스: Staples ~30%</t>
        </is>
      </c>
    </row>
    <row r="107" ht="15" customHeight="1" s="72">
      <c r="A107" s="111" t="n"/>
    </row>
    <row r="108" ht="12" customHeight="1" s="72">
      <c r="A108" s="110" t="inlineStr">
        <is>
          <t>📌 글로벌 스토어 US 시장 규모 (매출 기준, 2024):</t>
        </is>
      </c>
    </row>
    <row r="109" ht="15" customHeight="1" s="72">
      <c r="A109" s="111" t="inlineStr">
        <is>
          <t xml:space="preserve">   Temu US $17B (~1.3%) | Shein US $11.4B (~1.0%) | AliExpress US $9.6B (~0.8%)</t>
        </is>
      </c>
    </row>
    <row r="110" ht="12" customHeight="1" s="72">
      <c r="A110" s="111" t="inlineStr">
        <is>
          <t xml:space="preserve">   IKEA US $1.9B e-com | H&amp;M US $2.3B | Zara US $1.9B | LEGO US 완구 11.3%</t>
        </is>
      </c>
    </row>
    <row r="111" ht="15" customHeight="1" s="72">
      <c r="A111" s="111" t="n"/>
    </row>
    <row r="112" ht="12" customHeight="1" s="72">
      <c r="A112" s="110" t="inlineStr">
        <is>
          <t>📌 출처 기준:</t>
        </is>
      </c>
    </row>
    <row r="113" ht="12" customHeight="1" s="72">
      <c r="A113" s="110" t="inlineStr">
        <is>
          <t xml:space="preserve">   전자: DBBNWA/Statista CE 지출 점유율 (전체 채널, 2024.6) | 패션: ecdb.com/Statista 매출÷$159.4B</t>
        </is>
      </c>
    </row>
    <row r="114" ht="12" customHeight="1" s="72">
      <c r="A114" s="110" t="inlineStr">
        <is>
          <t xml:space="preserve">   그로서리: eMarketer Digital Grocery 2025 | 뷰티: Statista/Retail Dive (뷰티+건강 합산) | 펫: Adthena/PetfoodIndustry</t>
        </is>
      </c>
    </row>
    <row r="115" ht="12" customHeight="1" s="72">
      <c r="A115" s="110" t="inlineStr">
        <is>
          <t xml:space="preserve">   홈: Statista 매출÷$182B | 스포츠/장난감/오피스: IBISWorld/추정</t>
        </is>
      </c>
    </row>
    <row r="116" ht="12" customHeight="1" s="72">
      <c r="A116" s="110" t="inlineStr">
        <is>
          <t xml:space="preserve">   글로벌: Notta/Mobiloud (Temu), BusinessOfApps/FashionDive (Shein), TechJury (AliExpress)</t>
        </is>
      </c>
    </row>
    <row r="117" ht="15" customHeight="1" s="72">
      <c r="A117" s="111" t="inlineStr">
        <is>
          <t xml:space="preserve">   IKEA FY24 US Annual, H&amp;M Full-Year 2024, Inditex FY2024, Numerator/Kidscreen (LEGO)</t>
        </is>
      </c>
    </row>
    <row r="118" ht="15" customHeight="1" s="72">
      <c r="A118" s="111" t="n"/>
    </row>
    <row r="119" ht="12" customHeight="1" s="72">
      <c r="A119" s="110" t="inlineStr">
        <is>
          <t>✅ 발송완료  ⬜ 미발송  ⏳ 대기중  ⛔ 컨택불가  ❌ 에러 | ★★★ 최우선  ★★☆ 중요  ★☆☆ 장기</t>
        </is>
      </c>
    </row>
    <row r="120" ht="12" customHeight="1" s="72">
      <c r="A120" s="110" t="inlineStr">
        <is>
          <t>⟲ 보라색 행 = 종합몰/브랜드/글로벌 교차 (해당 카테고리 점유율과 함께 표시)</t>
        </is>
      </c>
    </row>
  </sheetData>
  <autoFilter ref="A5:U89"/>
  <mergeCells count="45">
    <mergeCell ref="A69:U69"/>
    <mergeCell ref="A94:U94"/>
    <mergeCell ref="A90:U90"/>
    <mergeCell ref="A108:U108"/>
    <mergeCell ref="A99:U99"/>
    <mergeCell ref="A75:U75"/>
    <mergeCell ref="A118:U118"/>
    <mergeCell ref="A120:U120"/>
    <mergeCell ref="A3:U3"/>
    <mergeCell ref="A105:U105"/>
    <mergeCell ref="A50:U50"/>
    <mergeCell ref="A101:U101"/>
    <mergeCell ref="A2:U2"/>
    <mergeCell ref="A104:U104"/>
    <mergeCell ref="A57:U57"/>
    <mergeCell ref="A95:U95"/>
    <mergeCell ref="A113:U113"/>
    <mergeCell ref="A116:U116"/>
    <mergeCell ref="A23:U23"/>
    <mergeCell ref="A106:U106"/>
    <mergeCell ref="A91:U91"/>
    <mergeCell ref="A97:U97"/>
    <mergeCell ref="A109:U109"/>
    <mergeCell ref="A100:U100"/>
    <mergeCell ref="A96:U96"/>
    <mergeCell ref="A112:U112"/>
    <mergeCell ref="A63:U63"/>
    <mergeCell ref="A115:U115"/>
    <mergeCell ref="A117:U117"/>
    <mergeCell ref="A93:U93"/>
    <mergeCell ref="A111:U111"/>
    <mergeCell ref="A44:U44"/>
    <mergeCell ref="A102:U102"/>
    <mergeCell ref="A114:U114"/>
    <mergeCell ref="A92:U92"/>
    <mergeCell ref="A15:U15"/>
    <mergeCell ref="A98:U98"/>
    <mergeCell ref="A107:U107"/>
    <mergeCell ref="A103:U103"/>
    <mergeCell ref="A36:U36"/>
    <mergeCell ref="A119:U119"/>
    <mergeCell ref="A1:U1"/>
    <mergeCell ref="A110:U110"/>
    <mergeCell ref="A79:U79"/>
    <mergeCell ref="A6:U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87" activeCellId="0" sqref="C87"/>
    </sheetView>
  </sheetViews>
  <sheetFormatPr baseColWidth="8" defaultColWidth="8.66796875" defaultRowHeight="15" customHeight="1" zeroHeight="0" outlineLevelRow="0"/>
  <cols>
    <col width="16" customWidth="1" style="71" min="1" max="1"/>
    <col width="10" customWidth="1" style="71" min="2" max="14"/>
    <col width="13" customWidth="1" style="71" min="15" max="15"/>
    <col width="8" customWidth="1" style="71" min="16" max="16"/>
    <col width="44" customWidth="1" style="71" min="17" max="17"/>
  </cols>
  <sheetData>
    <row r="1" ht="17.25" customHeight="1" s="72">
      <c r="A1" s="112" t="inlineStr">
        <is>
          <t>📊 미국 주요 쇼핑몰 월간 웹 트래픽 (2025, 단위: 백만 방문)</t>
        </is>
      </c>
    </row>
    <row r="2" ht="11.25" customHeight="1" s="72">
      <c r="A2" s="113" t="inlineStr">
        <is>
          <t>출처: Similarweb, Statista, Semrush (2025) | 확인된 데이터 포인트 기반 + 계절 패턴 보간</t>
        </is>
      </c>
    </row>
    <row r="3" ht="15" customHeight="1" s="72">
      <c r="A3" s="114" t="inlineStr">
        <is>
          <t>범례:</t>
        </is>
      </c>
      <c r="C3" s="115" t="inlineStr">
        <is>
          <t>높음</t>
        </is>
      </c>
      <c r="D3" s="116" t="inlineStr">
        <is>
          <t>중간</t>
        </is>
      </c>
      <c r="E3" s="117" t="inlineStr">
        <is>
          <t>낮음</t>
        </is>
      </c>
      <c r="F3" s="118" t="inlineStr">
        <is>
          <t>데이터 신뢰도 (높음=실측, 중간=YoY추정, 낮음=추정치)</t>
        </is>
      </c>
    </row>
    <row r="5" ht="15" customHeight="1" s="72">
      <c r="A5" s="76" t="inlineStr">
        <is>
          <t>쇼핑몰</t>
        </is>
      </c>
      <c r="B5" s="76" t="inlineStr">
        <is>
          <t>카테고리</t>
        </is>
      </c>
      <c r="C5" s="119" t="inlineStr">
        <is>
          <t>Jan</t>
        </is>
      </c>
      <c r="D5" s="119" t="inlineStr">
        <is>
          <t>Feb</t>
        </is>
      </c>
      <c r="E5" s="119" t="inlineStr">
        <is>
          <t>Mar</t>
        </is>
      </c>
      <c r="F5" s="119" t="inlineStr">
        <is>
          <t>Apr</t>
        </is>
      </c>
      <c r="G5" s="119" t="inlineStr">
        <is>
          <t>May</t>
        </is>
      </c>
      <c r="H5" s="119" t="inlineStr">
        <is>
          <t>Jun</t>
        </is>
      </c>
      <c r="I5" s="119" t="inlineStr">
        <is>
          <t>Jul</t>
        </is>
      </c>
      <c r="J5" s="119" t="inlineStr">
        <is>
          <t>Aug</t>
        </is>
      </c>
      <c r="K5" s="119" t="inlineStr">
        <is>
          <t>Sep</t>
        </is>
      </c>
      <c r="L5" s="119" t="inlineStr">
        <is>
          <t>Oct</t>
        </is>
      </c>
      <c r="M5" s="119" t="inlineStr">
        <is>
          <t>Nov</t>
        </is>
      </c>
      <c r="N5" s="119" t="inlineStr">
        <is>
          <t>Dec</t>
        </is>
      </c>
      <c r="O5" s="120" t="inlineStr">
        <is>
          <t>연간 합계</t>
        </is>
      </c>
      <c r="P5" s="76" t="inlineStr">
        <is>
          <t>신뢰도</t>
        </is>
      </c>
      <c r="Q5" s="76" t="inlineStr">
        <is>
          <t>출처</t>
        </is>
      </c>
    </row>
    <row r="6" ht="15" customHeight="1" s="72">
      <c r="A6" s="81" t="inlineStr">
        <is>
          <t>Amazon</t>
        </is>
      </c>
      <c r="B6" s="86" t="inlineStr">
        <is>
          <t>종합</t>
        </is>
      </c>
      <c r="C6" s="121" t="n">
        <v>2650</v>
      </c>
      <c r="D6" s="121" t="n">
        <v>2230</v>
      </c>
      <c r="E6" s="121" t="n">
        <v>2340</v>
      </c>
      <c r="F6" s="121" t="n">
        <v>2440</v>
      </c>
      <c r="G6" s="121" t="n">
        <v>2450</v>
      </c>
      <c r="H6" s="121" t="n">
        <v>2460</v>
      </c>
      <c r="I6" s="121" t="n">
        <v>2550</v>
      </c>
      <c r="J6" s="121" t="n">
        <v>2500</v>
      </c>
      <c r="K6" s="121" t="n">
        <v>2550</v>
      </c>
      <c r="L6" s="121" t="n">
        <v>2660</v>
      </c>
      <c r="M6" s="121" t="n">
        <v>2970</v>
      </c>
      <c r="N6" s="121" t="n">
        <v>2980</v>
      </c>
      <c r="O6" s="122">
        <f>SUM(C6:N6)</f>
        <v/>
      </c>
      <c r="P6" s="123" t="inlineStr">
        <is>
          <t>높음</t>
        </is>
      </c>
      <c r="Q6" s="124" t="inlineStr">
        <is>
          <t>Similarweb Jan'26: 6.1B 3mo avg</t>
        </is>
      </c>
    </row>
    <row r="7" ht="15" customHeight="1" s="72">
      <c r="A7" s="125" t="inlineStr">
        <is>
          <t>Walmart</t>
        </is>
      </c>
      <c r="B7" s="126" t="inlineStr">
        <is>
          <t>종합</t>
        </is>
      </c>
      <c r="C7" s="127" t="n">
        <v>410</v>
      </c>
      <c r="D7" s="127" t="n">
        <v>390</v>
      </c>
      <c r="E7" s="127" t="n">
        <v>400</v>
      </c>
      <c r="F7" s="127" t="n">
        <v>420</v>
      </c>
      <c r="G7" s="127" t="n">
        <v>430</v>
      </c>
      <c r="H7" s="127" t="n">
        <v>440</v>
      </c>
      <c r="I7" s="127" t="n">
        <v>528</v>
      </c>
      <c r="J7" s="127" t="n">
        <v>455</v>
      </c>
      <c r="K7" s="127" t="n">
        <v>465</v>
      </c>
      <c r="L7" s="127" t="n">
        <v>470</v>
      </c>
      <c r="M7" s="127" t="n">
        <v>575</v>
      </c>
      <c r="N7" s="127" t="n">
        <v>700</v>
      </c>
      <c r="O7" s="122">
        <f>SUM(C7:N7)</f>
        <v/>
      </c>
      <c r="P7" s="123" t="inlineStr">
        <is>
          <t>높음</t>
        </is>
      </c>
      <c r="Q7" s="128" t="inlineStr">
        <is>
          <t>Similarweb Jan'26: 583.8M; Jul'25: 528M</t>
        </is>
      </c>
    </row>
    <row r="8" ht="15" customHeight="1" s="72">
      <c r="A8" s="81" t="inlineStr">
        <is>
          <t>eBay</t>
        </is>
      </c>
      <c r="B8" s="86" t="inlineStr">
        <is>
          <t>종합</t>
        </is>
      </c>
      <c r="C8" s="121" t="n">
        <v>700</v>
      </c>
      <c r="D8" s="121" t="n">
        <v>720</v>
      </c>
      <c r="E8" s="121" t="n">
        <v>690</v>
      </c>
      <c r="F8" s="121" t="n">
        <v>680</v>
      </c>
      <c r="G8" s="121" t="n">
        <v>670</v>
      </c>
      <c r="H8" s="121" t="n">
        <v>665</v>
      </c>
      <c r="I8" s="121" t="n">
        <v>665</v>
      </c>
      <c r="J8" s="121" t="n">
        <v>670</v>
      </c>
      <c r="K8" s="121" t="n">
        <v>690</v>
      </c>
      <c r="L8" s="121" t="n">
        <v>730</v>
      </c>
      <c r="M8" s="121" t="n">
        <v>720</v>
      </c>
      <c r="N8" s="121" t="n">
        <v>755</v>
      </c>
      <c r="O8" s="122">
        <f>SUM(C8:N8)</f>
        <v/>
      </c>
      <c r="P8" s="123" t="inlineStr">
        <is>
          <t>높음</t>
        </is>
      </c>
      <c r="Q8" s="124" t="inlineStr">
        <is>
          <t>Similarweb Jan'26: 1.1B 3mo avg</t>
        </is>
      </c>
    </row>
    <row r="9" ht="15" customHeight="1" s="72">
      <c r="A9" s="125" t="inlineStr">
        <is>
          <t>Apple</t>
        </is>
      </c>
      <c r="B9" s="126" t="inlineStr">
        <is>
          <t>전자</t>
        </is>
      </c>
      <c r="C9" s="127" t="n">
        <v>500</v>
      </c>
      <c r="D9" s="127" t="n">
        <v>470</v>
      </c>
      <c r="E9" s="127" t="n">
        <v>460</v>
      </c>
      <c r="F9" s="127" t="n">
        <v>450</v>
      </c>
      <c r="G9" s="127" t="n">
        <v>450</v>
      </c>
      <c r="H9" s="127" t="n">
        <v>440</v>
      </c>
      <c r="I9" s="127" t="n">
        <v>450</v>
      </c>
      <c r="J9" s="127" t="n">
        <v>460</v>
      </c>
      <c r="K9" s="127" t="n">
        <v>580</v>
      </c>
      <c r="L9" s="127" t="n">
        <v>545</v>
      </c>
      <c r="M9" s="127" t="n">
        <v>575</v>
      </c>
      <c r="N9" s="127" t="n">
        <v>555</v>
      </c>
      <c r="O9" s="122">
        <f>SUM(C9:N9)</f>
        <v/>
      </c>
      <c r="P9" s="123" t="inlineStr">
        <is>
          <t>높음</t>
        </is>
      </c>
      <c r="Q9" s="128" t="inlineStr">
        <is>
          <t>Similarweb: Sep'25 579.7M (iPhone launch)</t>
        </is>
      </c>
    </row>
    <row r="10" ht="15" customHeight="1" s="72">
      <c r="A10" s="81" t="inlineStr">
        <is>
          <t>Target</t>
        </is>
      </c>
      <c r="B10" s="86" t="inlineStr">
        <is>
          <t>종합</t>
        </is>
      </c>
      <c r="C10" s="121" t="n">
        <v>175</v>
      </c>
      <c r="D10" s="121" t="n">
        <v>160</v>
      </c>
      <c r="E10" s="121" t="n">
        <v>165</v>
      </c>
      <c r="F10" s="121" t="n">
        <v>170</v>
      </c>
      <c r="G10" s="121" t="n">
        <v>175</v>
      </c>
      <c r="H10" s="121" t="n">
        <v>170</v>
      </c>
      <c r="I10" s="121" t="n">
        <v>175</v>
      </c>
      <c r="J10" s="121" t="n">
        <v>180</v>
      </c>
      <c r="K10" s="121" t="n">
        <v>185</v>
      </c>
      <c r="L10" s="121" t="n">
        <v>195</v>
      </c>
      <c r="M10" s="121" t="n">
        <v>260</v>
      </c>
      <c r="N10" s="121" t="n">
        <v>314</v>
      </c>
      <c r="O10" s="122">
        <f>SUM(C10:N10)</f>
        <v/>
      </c>
      <c r="P10" s="123" t="inlineStr">
        <is>
          <t>높음</t>
        </is>
      </c>
      <c r="Q10" s="124" t="inlineStr">
        <is>
          <t>Similarweb: Dec'25 313.7M confirmed</t>
        </is>
      </c>
    </row>
    <row r="11" ht="15" customHeight="1" s="72">
      <c r="A11" s="125" t="inlineStr">
        <is>
          <t>Costco</t>
        </is>
      </c>
      <c r="B11" s="126" t="inlineStr">
        <is>
          <t>종합</t>
        </is>
      </c>
      <c r="C11" s="127" t="n">
        <v>120</v>
      </c>
      <c r="D11" s="127" t="n">
        <v>115</v>
      </c>
      <c r="E11" s="127" t="n">
        <v>118</v>
      </c>
      <c r="F11" s="127" t="n">
        <v>122</v>
      </c>
      <c r="G11" s="127" t="n">
        <v>125</v>
      </c>
      <c r="H11" s="127" t="n">
        <v>128</v>
      </c>
      <c r="I11" s="127" t="n">
        <v>130</v>
      </c>
      <c r="J11" s="127" t="n">
        <v>128</v>
      </c>
      <c r="K11" s="127" t="n">
        <v>130</v>
      </c>
      <c r="L11" s="127" t="n">
        <v>136</v>
      </c>
      <c r="M11" s="127" t="n">
        <v>147</v>
      </c>
      <c r="N11" s="127" t="n">
        <v>152</v>
      </c>
      <c r="O11" s="122">
        <f>SUM(C11:N11)</f>
        <v/>
      </c>
      <c r="P11" s="129" t="inlineStr">
        <is>
          <t>중간</t>
        </is>
      </c>
      <c r="Q11" s="128" t="inlineStr">
        <is>
          <t>2025 est. ~122M monthly avg</t>
        </is>
      </c>
    </row>
    <row r="12" ht="15" customHeight="1" s="72">
      <c r="A12" s="81" t="inlineStr">
        <is>
          <t>Temu</t>
        </is>
      </c>
      <c r="B12" s="86" t="inlineStr">
        <is>
          <t>글로벌</t>
        </is>
      </c>
      <c r="C12" s="121" t="n">
        <v>550</v>
      </c>
      <c r="D12" s="121" t="n">
        <v>630</v>
      </c>
      <c r="E12" s="121" t="n">
        <v>700</v>
      </c>
      <c r="F12" s="121" t="n">
        <v>790</v>
      </c>
      <c r="G12" s="121" t="n">
        <v>860</v>
      </c>
      <c r="H12" s="121" t="n">
        <v>2110</v>
      </c>
      <c r="I12" s="121" t="n">
        <v>1100</v>
      </c>
      <c r="J12" s="121" t="n">
        <v>1250</v>
      </c>
      <c r="K12" s="121" t="n">
        <v>1800</v>
      </c>
      <c r="L12" s="121" t="n">
        <v>1400</v>
      </c>
      <c r="M12" s="121" t="n">
        <v>1170</v>
      </c>
      <c r="N12" s="121" t="n">
        <v>1090</v>
      </c>
      <c r="O12" s="122">
        <f>SUM(C12:N12)</f>
        <v/>
      </c>
      <c r="P12" s="123" t="inlineStr">
        <is>
          <t>높음</t>
        </is>
      </c>
      <c r="Q12" s="124" t="inlineStr">
        <is>
          <t>Statista: Jun'25 2.11B, Sep'25 1.8B confirmed</t>
        </is>
      </c>
    </row>
    <row r="13" ht="15" customHeight="1" s="72">
      <c r="A13" s="125" t="inlineStr">
        <is>
          <t>Etsy</t>
        </is>
      </c>
      <c r="B13" s="126" t="inlineStr">
        <is>
          <t>종합</t>
        </is>
      </c>
      <c r="C13" s="127" t="n">
        <v>400</v>
      </c>
      <c r="D13" s="127" t="n">
        <v>390</v>
      </c>
      <c r="E13" s="127" t="n">
        <v>395</v>
      </c>
      <c r="F13" s="127" t="n">
        <v>405</v>
      </c>
      <c r="G13" s="127" t="n">
        <v>410</v>
      </c>
      <c r="H13" s="127" t="n">
        <v>400</v>
      </c>
      <c r="I13" s="127" t="n">
        <v>405</v>
      </c>
      <c r="J13" s="127" t="n">
        <v>410</v>
      </c>
      <c r="K13" s="127" t="n">
        <v>420</v>
      </c>
      <c r="L13" s="127" t="n">
        <v>440</v>
      </c>
      <c r="M13" s="127" t="n">
        <v>505</v>
      </c>
      <c r="N13" s="127" t="n">
        <v>536</v>
      </c>
      <c r="O13" s="122">
        <f>SUM(C13:N13)</f>
        <v/>
      </c>
      <c r="P13" s="123" t="inlineStr">
        <is>
          <t>높음</t>
        </is>
      </c>
      <c r="Q13" s="128" t="inlineStr">
        <is>
          <t>Similarweb: Dec'25 536.1M; avg 462.1M</t>
        </is>
      </c>
    </row>
    <row r="14" ht="15" customHeight="1" s="72">
      <c r="A14" s="81" t="inlineStr">
        <is>
          <t>Best Buy</t>
        </is>
      </c>
      <c r="B14" s="86" t="inlineStr">
        <is>
          <t>전자</t>
        </is>
      </c>
      <c r="C14" s="121" t="n">
        <v>155</v>
      </c>
      <c r="D14" s="121" t="n">
        <v>145</v>
      </c>
      <c r="E14" s="121" t="n">
        <v>140</v>
      </c>
      <c r="F14" s="121" t="n">
        <v>137</v>
      </c>
      <c r="G14" s="121" t="n">
        <v>134</v>
      </c>
      <c r="H14" s="121" t="n">
        <v>129</v>
      </c>
      <c r="I14" s="121" t="n">
        <v>134</v>
      </c>
      <c r="J14" s="121" t="n">
        <v>140</v>
      </c>
      <c r="K14" s="121" t="n">
        <v>145</v>
      </c>
      <c r="L14" s="121" t="n">
        <v>156</v>
      </c>
      <c r="M14" s="121" t="n">
        <v>177</v>
      </c>
      <c r="N14" s="121" t="n">
        <v>175</v>
      </c>
      <c r="O14" s="122">
        <f>SUM(C14:N14)</f>
        <v/>
      </c>
      <c r="P14" s="129" t="inlineStr">
        <is>
          <t>중간</t>
        </is>
      </c>
      <c r="Q14" s="124" t="inlineStr">
        <is>
          <t>2024 baseline +~7% YoY est.</t>
        </is>
      </c>
    </row>
    <row r="15" ht="15" customHeight="1" s="72">
      <c r="A15" s="125" t="inlineStr">
        <is>
          <t>Nike</t>
        </is>
      </c>
      <c r="B15" s="126" t="inlineStr">
        <is>
          <t>패션</t>
        </is>
      </c>
      <c r="C15" s="127" t="n">
        <v>125</v>
      </c>
      <c r="D15" s="127" t="n">
        <v>120</v>
      </c>
      <c r="E15" s="127" t="n">
        <v>130</v>
      </c>
      <c r="F15" s="127" t="n">
        <v>135</v>
      </c>
      <c r="G15" s="127" t="n">
        <v>146</v>
      </c>
      <c r="H15" s="127" t="n">
        <v>116</v>
      </c>
      <c r="I15" s="127" t="n">
        <v>115</v>
      </c>
      <c r="J15" s="127" t="n">
        <v>120</v>
      </c>
      <c r="K15" s="127" t="n">
        <v>125</v>
      </c>
      <c r="L15" s="127" t="n">
        <v>136</v>
      </c>
      <c r="M15" s="127" t="n">
        <v>155</v>
      </c>
      <c r="N15" s="127" t="n">
        <v>141</v>
      </c>
      <c r="O15" s="122">
        <f>SUM(C15:N15)</f>
        <v/>
      </c>
      <c r="P15" s="129" t="inlineStr">
        <is>
          <t>중간</t>
        </is>
      </c>
      <c r="Q15" s="128" t="inlineStr">
        <is>
          <t>Statista: Jun'24 115.6M baseline +YoY</t>
        </is>
      </c>
    </row>
    <row r="16" ht="15" customHeight="1" s="72">
      <c r="A16" s="81" t="inlineStr">
        <is>
          <t>Home Depot</t>
        </is>
      </c>
      <c r="B16" s="86" t="inlineStr">
        <is>
          <t>홈</t>
        </is>
      </c>
      <c r="C16" s="121" t="n">
        <v>185</v>
      </c>
      <c r="D16" s="121" t="n">
        <v>190</v>
      </c>
      <c r="E16" s="121" t="n">
        <v>200</v>
      </c>
      <c r="F16" s="121" t="n">
        <v>205</v>
      </c>
      <c r="G16" s="121" t="n">
        <v>210</v>
      </c>
      <c r="H16" s="121" t="n">
        <v>205</v>
      </c>
      <c r="I16" s="121" t="n">
        <v>200</v>
      </c>
      <c r="J16" s="121" t="n">
        <v>195</v>
      </c>
      <c r="K16" s="121" t="n">
        <v>202</v>
      </c>
      <c r="L16" s="121" t="n">
        <v>212</v>
      </c>
      <c r="M16" s="121" t="n">
        <v>210</v>
      </c>
      <c r="N16" s="121" t="n">
        <v>193</v>
      </c>
      <c r="O16" s="122">
        <f>SUM(C16:N16)</f>
        <v/>
      </c>
      <c r="P16" s="129" t="inlineStr">
        <is>
          <t>중간</t>
        </is>
      </c>
      <c r="Q16" s="124" t="inlineStr">
        <is>
          <t>Statista: Oct'24 212M; spring/fall peak</t>
        </is>
      </c>
    </row>
    <row r="17" ht="15" customHeight="1" s="72">
      <c r="A17" s="125" t="inlineStr">
        <is>
          <t>Shein</t>
        </is>
      </c>
      <c r="B17" s="126" t="inlineStr">
        <is>
          <t>글로벌</t>
        </is>
      </c>
      <c r="C17" s="127" t="n">
        <v>200</v>
      </c>
      <c r="D17" s="127" t="n">
        <v>210</v>
      </c>
      <c r="E17" s="127" t="n">
        <v>220</v>
      </c>
      <c r="F17" s="127" t="n">
        <v>230</v>
      </c>
      <c r="G17" s="127" t="n">
        <v>240</v>
      </c>
      <c r="H17" s="127" t="n">
        <v>236</v>
      </c>
      <c r="I17" s="127" t="n">
        <v>242</v>
      </c>
      <c r="J17" s="127" t="n">
        <v>247</v>
      </c>
      <c r="K17" s="127" t="n">
        <v>253</v>
      </c>
      <c r="L17" s="127" t="n">
        <v>264</v>
      </c>
      <c r="M17" s="127" t="n">
        <v>286</v>
      </c>
      <c r="N17" s="127" t="n">
        <v>275</v>
      </c>
      <c r="O17" s="122">
        <f>SUM(C17:N17)</f>
        <v/>
      </c>
      <c r="P17" s="129" t="inlineStr">
        <is>
          <t>중간</t>
        </is>
      </c>
      <c r="Q17" s="128" t="inlineStr">
        <is>
          <t>YoY +10%; app-first (web undercount)</t>
        </is>
      </c>
    </row>
    <row r="18" ht="15" customHeight="1" s="72">
      <c r="A18" s="81" t="inlineStr">
        <is>
          <t>AliExpress</t>
        </is>
      </c>
      <c r="B18" s="86" t="inlineStr">
        <is>
          <t>글로벌</t>
        </is>
      </c>
      <c r="C18" s="121" t="n">
        <v>790</v>
      </c>
      <c r="D18" s="121" t="n">
        <v>760</v>
      </c>
      <c r="E18" s="121" t="n">
        <v>805</v>
      </c>
      <c r="F18" s="121" t="n">
        <v>835</v>
      </c>
      <c r="G18" s="121" t="n">
        <v>865</v>
      </c>
      <c r="H18" s="121" t="n">
        <v>935</v>
      </c>
      <c r="I18" s="121" t="n">
        <v>1440</v>
      </c>
      <c r="J18" s="121" t="n">
        <v>1150</v>
      </c>
      <c r="K18" s="121" t="n">
        <v>1010</v>
      </c>
      <c r="L18" s="121" t="n">
        <v>980</v>
      </c>
      <c r="M18" s="121" t="n">
        <v>965</v>
      </c>
      <c r="N18" s="121" t="n">
        <v>970</v>
      </c>
      <c r="O18" s="122">
        <f>SUM(C18:N18)</f>
        <v/>
      </c>
      <c r="P18" s="129" t="inlineStr">
        <is>
          <t>중간</t>
        </is>
      </c>
      <c r="Q18" s="124" t="inlineStr">
        <is>
          <t>+10~24% YoY (Q1 24%, Q2 22%); Jul peak pattern</t>
        </is>
      </c>
    </row>
    <row r="19" ht="15" customHeight="1" s="72">
      <c r="A19" s="125" t="inlineStr">
        <is>
          <t>Wayfair</t>
        </is>
      </c>
      <c r="B19" s="126" t="inlineStr">
        <is>
          <t>홈</t>
        </is>
      </c>
      <c r="C19" s="127" t="n">
        <v>58</v>
      </c>
      <c r="D19" s="127" t="n">
        <v>55</v>
      </c>
      <c r="E19" s="127" t="n">
        <v>61</v>
      </c>
      <c r="F19" s="127" t="n">
        <v>65</v>
      </c>
      <c r="G19" s="127" t="n">
        <v>68</v>
      </c>
      <c r="H19" s="127" t="n">
        <v>63</v>
      </c>
      <c r="I19" s="127" t="n">
        <v>58</v>
      </c>
      <c r="J19" s="127" t="n">
        <v>61</v>
      </c>
      <c r="K19" s="127" t="n">
        <v>65</v>
      </c>
      <c r="L19" s="127" t="n">
        <v>74</v>
      </c>
      <c r="M19" s="127" t="n">
        <v>89</v>
      </c>
      <c r="N19" s="127" t="n">
        <v>94</v>
      </c>
      <c r="O19" s="122">
        <f>SUM(C19:N19)</f>
        <v/>
      </c>
      <c r="P19" s="123" t="inlineStr">
        <is>
          <t>높음</t>
        </is>
      </c>
      <c r="Q19" s="128" t="inlineStr">
        <is>
          <t>Similarweb: Dec'25 94.1M confirmed</t>
        </is>
      </c>
    </row>
    <row r="20" ht="15" customHeight="1" s="72">
      <c r="A20" s="81" t="inlineStr">
        <is>
          <t>Chewy</t>
        </is>
      </c>
      <c r="B20" s="86" t="inlineStr">
        <is>
          <t>펫</t>
        </is>
      </c>
      <c r="C20" s="121" t="n">
        <v>40</v>
      </c>
      <c r="D20" s="121" t="n">
        <v>38</v>
      </c>
      <c r="E20" s="121" t="n">
        <v>39</v>
      </c>
      <c r="F20" s="121" t="n">
        <v>41</v>
      </c>
      <c r="G20" s="121" t="n">
        <v>42</v>
      </c>
      <c r="H20" s="121" t="n">
        <v>43</v>
      </c>
      <c r="I20" s="121" t="n">
        <v>44</v>
      </c>
      <c r="J20" s="121" t="n">
        <v>45</v>
      </c>
      <c r="K20" s="121" t="n">
        <v>44</v>
      </c>
      <c r="L20" s="121" t="n">
        <v>45</v>
      </c>
      <c r="M20" s="121" t="n">
        <v>46</v>
      </c>
      <c r="N20" s="121" t="n">
        <v>56</v>
      </c>
      <c r="O20" s="122">
        <f>SUM(C20:N20)</f>
        <v/>
      </c>
      <c r="P20" s="130" t="inlineStr">
        <is>
          <t>낮음</t>
        </is>
      </c>
      <c r="Q20" s="124" t="inlineStr">
        <is>
          <t>2024 baseline +5% YoY est.</t>
        </is>
      </c>
    </row>
    <row r="21" ht="15" customHeight="1" s="72">
      <c r="A21" s="125" t="inlineStr">
        <is>
          <t>Macy's</t>
        </is>
      </c>
      <c r="B21" s="126" t="inlineStr">
        <is>
          <t>패션</t>
        </is>
      </c>
      <c r="C21" s="127" t="n">
        <v>53</v>
      </c>
      <c r="D21" s="127" t="n">
        <v>51</v>
      </c>
      <c r="E21" s="127" t="n">
        <v>48</v>
      </c>
      <c r="F21" s="127" t="n">
        <v>44</v>
      </c>
      <c r="G21" s="127" t="n">
        <v>46</v>
      </c>
      <c r="H21" s="127" t="n">
        <v>44</v>
      </c>
      <c r="I21" s="127" t="n">
        <v>42</v>
      </c>
      <c r="J21" s="127" t="n">
        <v>44</v>
      </c>
      <c r="K21" s="127" t="n">
        <v>51</v>
      </c>
      <c r="L21" s="127" t="n">
        <v>58</v>
      </c>
      <c r="M21" s="127" t="n">
        <v>79</v>
      </c>
      <c r="N21" s="127" t="n">
        <v>68</v>
      </c>
      <c r="O21" s="122">
        <f>SUM(C21:N21)</f>
        <v/>
      </c>
      <c r="P21" s="130" t="inlineStr">
        <is>
          <t>낮음</t>
        </is>
      </c>
      <c r="Q21" s="128" t="inlineStr">
        <is>
          <t>2024 baseline +5% YoY est.</t>
        </is>
      </c>
    </row>
    <row r="22" ht="15" customHeight="1" s="72">
      <c r="A22" s="81" t="inlineStr">
        <is>
          <t>Sephora</t>
        </is>
      </c>
      <c r="B22" s="86" t="inlineStr">
        <is>
          <t>뷰티</t>
        </is>
      </c>
      <c r="C22" s="121" t="n">
        <v>32</v>
      </c>
      <c r="D22" s="121" t="n">
        <v>34</v>
      </c>
      <c r="E22" s="121" t="n">
        <v>36</v>
      </c>
      <c r="F22" s="121" t="n">
        <v>37</v>
      </c>
      <c r="G22" s="121" t="n">
        <v>37</v>
      </c>
      <c r="H22" s="121" t="n">
        <v>38</v>
      </c>
      <c r="I22" s="121" t="n">
        <v>39</v>
      </c>
      <c r="J22" s="121" t="n">
        <v>40</v>
      </c>
      <c r="K22" s="121" t="n">
        <v>43</v>
      </c>
      <c r="L22" s="121" t="n">
        <v>47</v>
      </c>
      <c r="M22" s="121" t="n">
        <v>63</v>
      </c>
      <c r="N22" s="121" t="n">
        <v>70</v>
      </c>
      <c r="O22" s="122">
        <f>SUM(C22:N22)</f>
        <v/>
      </c>
      <c r="P22" s="123" t="inlineStr">
        <is>
          <t>높음</t>
        </is>
      </c>
      <c r="Q22" s="124" t="inlineStr">
        <is>
          <t>Similarweb: Nov'25 62.6M; Dec est. 70M</t>
        </is>
      </c>
    </row>
    <row r="23" ht="15" customHeight="1" s="72">
      <c r="A23" s="125" t="inlineStr">
        <is>
          <t>IKEA (US)</t>
        </is>
      </c>
      <c r="B23" s="126" t="inlineStr">
        <is>
          <t>홈</t>
        </is>
      </c>
      <c r="C23" s="127" t="n">
        <v>40</v>
      </c>
      <c r="D23" s="127" t="n">
        <v>38</v>
      </c>
      <c r="E23" s="127" t="n">
        <v>40</v>
      </c>
      <c r="F23" s="127" t="n">
        <v>42</v>
      </c>
      <c r="G23" s="127" t="n">
        <v>44</v>
      </c>
      <c r="H23" s="127" t="n">
        <v>46</v>
      </c>
      <c r="I23" s="127" t="n">
        <v>45</v>
      </c>
      <c r="J23" s="127" t="n">
        <v>46</v>
      </c>
      <c r="K23" s="127" t="n">
        <v>44</v>
      </c>
      <c r="L23" s="127" t="n">
        <v>42</v>
      </c>
      <c r="M23" s="127" t="n">
        <v>47</v>
      </c>
      <c r="N23" s="127" t="n">
        <v>50</v>
      </c>
      <c r="O23" s="122">
        <f>SUM(C23:N23)</f>
        <v/>
      </c>
      <c r="P23" s="129" t="inlineStr">
        <is>
          <t>중간</t>
        </is>
      </c>
      <c r="Q23" s="128" t="inlineStr">
        <is>
          <t>IKEA 2025: 458M annual (US ~19%)</t>
        </is>
      </c>
    </row>
    <row r="24" ht="15" customHeight="1" s="72">
      <c r="A24" s="120" t="inlineStr">
        <is>
          <t>합계</t>
        </is>
      </c>
      <c r="B24" s="131" t="n"/>
      <c r="C24" s="132">
        <f>SUM(C6:C23)</f>
        <v/>
      </c>
      <c r="D24" s="132">
        <f>SUM(D6:D23)</f>
        <v/>
      </c>
      <c r="E24" s="132">
        <f>SUM(E6:E23)</f>
        <v/>
      </c>
      <c r="F24" s="132">
        <f>SUM(F6:F23)</f>
        <v/>
      </c>
      <c r="G24" s="132">
        <f>SUM(G6:G23)</f>
        <v/>
      </c>
      <c r="H24" s="132">
        <f>SUM(H6:H23)</f>
        <v/>
      </c>
      <c r="I24" s="132">
        <f>SUM(I6:I23)</f>
        <v/>
      </c>
      <c r="J24" s="132">
        <f>SUM(J6:J23)</f>
        <v/>
      </c>
      <c r="K24" s="132">
        <f>SUM(K6:K23)</f>
        <v/>
      </c>
      <c r="L24" s="132">
        <f>SUM(L6:L23)</f>
        <v/>
      </c>
      <c r="M24" s="132">
        <f>SUM(M6:M23)</f>
        <v/>
      </c>
      <c r="N24" s="132">
        <f>SUM(N6:N23)</f>
        <v/>
      </c>
      <c r="O24" s="132">
        <f>SUM(O6:O23)</f>
        <v/>
      </c>
      <c r="P24" s="131" t="n"/>
      <c r="Q24" s="131" t="n"/>
    </row>
    <row r="27" ht="15.75" customHeight="1" s="72">
      <c r="A27" s="109" t="inlineStr">
        <is>
          <t>📊 차트 1: 2025 연간 총 웹 트래픽 비교 (기둥차트)</t>
        </is>
      </c>
    </row>
    <row r="58" ht="15.75" customHeight="1" s="72">
      <c r="A58" s="109" t="inlineStr">
        <is>
          <t>📈 차트 2: 2025 월별 트래픽 추이 — Top 6 (라인차트)</t>
        </is>
      </c>
    </row>
    <row r="89" ht="15.75" customHeight="1" s="72">
      <c r="A89" s="109" t="inlineStr">
        <is>
          <t>🥧 차트 3: 2025 Q4 (Oct-Dec) 트래픽 점유율 (파이차트)</t>
        </is>
      </c>
    </row>
    <row r="91" ht="15" customHeight="1" s="72">
      <c r="A91" s="76" t="inlineStr">
        <is>
          <t>쇼핑몰</t>
        </is>
      </c>
      <c r="B91" s="77" t="inlineStr">
        <is>
          <t>Q4 합계(M)</t>
        </is>
      </c>
    </row>
    <row r="92" ht="15" customHeight="1" s="72">
      <c r="A92" s="81" t="inlineStr">
        <is>
          <t>Amazon</t>
        </is>
      </c>
      <c r="B92" s="121">
        <f>L6+M6+N6</f>
        <v/>
      </c>
    </row>
    <row r="93" ht="15" customHeight="1" s="72">
      <c r="A93" s="81" t="inlineStr">
        <is>
          <t>Walmart</t>
        </is>
      </c>
      <c r="B93" s="121">
        <f>L7+M7+N7</f>
        <v/>
      </c>
    </row>
    <row r="94" ht="15" customHeight="1" s="72">
      <c r="A94" s="81" t="inlineStr">
        <is>
          <t>eBay</t>
        </is>
      </c>
      <c r="B94" s="121">
        <f>L8+M8+N8</f>
        <v/>
      </c>
    </row>
    <row r="95" ht="15" customHeight="1" s="72">
      <c r="A95" s="81" t="inlineStr">
        <is>
          <t>Apple</t>
        </is>
      </c>
      <c r="B95" s="121">
        <f>L9+M9+N9</f>
        <v/>
      </c>
    </row>
    <row r="96" ht="15" customHeight="1" s="72">
      <c r="A96" s="81" t="inlineStr">
        <is>
          <t>Target</t>
        </is>
      </c>
      <c r="B96" s="121">
        <f>L10+M10+N10</f>
        <v/>
      </c>
    </row>
    <row r="97" ht="15" customHeight="1" s="72">
      <c r="A97" s="81" t="inlineStr">
        <is>
          <t>Costco</t>
        </is>
      </c>
      <c r="B97" s="121">
        <f>L11+M11+N11</f>
        <v/>
      </c>
    </row>
    <row r="98" ht="15" customHeight="1" s="72">
      <c r="A98" s="81" t="inlineStr">
        <is>
          <t>Temu</t>
        </is>
      </c>
      <c r="B98" s="121">
        <f>L12+M12+N12</f>
        <v/>
      </c>
    </row>
    <row r="99" ht="15" customHeight="1" s="72">
      <c r="A99" s="81" t="inlineStr">
        <is>
          <t>Etsy</t>
        </is>
      </c>
      <c r="B99" s="121">
        <f>L13+M13+N13</f>
        <v/>
      </c>
    </row>
    <row r="100" ht="15" customHeight="1" s="72">
      <c r="A100" s="81" t="inlineStr">
        <is>
          <t>Best Buy</t>
        </is>
      </c>
      <c r="B100" s="121">
        <f>L14+M14+N14</f>
        <v/>
      </c>
    </row>
    <row r="101" ht="15" customHeight="1" s="72">
      <c r="A101" s="81" t="inlineStr">
        <is>
          <t>Nike</t>
        </is>
      </c>
      <c r="B101" s="121">
        <f>L15+M15+N15</f>
        <v/>
      </c>
    </row>
    <row r="102" ht="15" customHeight="1" s="72">
      <c r="A102" s="81" t="inlineStr">
        <is>
          <t>Home Depot</t>
        </is>
      </c>
      <c r="B102" s="121">
        <f>L16+M16+N16</f>
        <v/>
      </c>
    </row>
    <row r="103" ht="15" customHeight="1" s="72">
      <c r="A103" s="81" t="inlineStr">
        <is>
          <t>Shein</t>
        </is>
      </c>
      <c r="B103" s="121">
        <f>L17+M17+N17</f>
        <v/>
      </c>
    </row>
    <row r="104" ht="15" customHeight="1" s="72">
      <c r="A104" s="81" t="inlineStr">
        <is>
          <t>AliExpress</t>
        </is>
      </c>
      <c r="B104" s="121">
        <f>L18+M18+N18</f>
        <v/>
      </c>
    </row>
    <row r="105" ht="15" customHeight="1" s="72">
      <c r="A105" s="81" t="inlineStr">
        <is>
          <t>Wayfair</t>
        </is>
      </c>
      <c r="B105" s="121">
        <f>L19+M19+N19</f>
        <v/>
      </c>
    </row>
    <row r="106" ht="15" customHeight="1" s="72">
      <c r="A106" s="81" t="inlineStr">
        <is>
          <t>Chewy</t>
        </is>
      </c>
      <c r="B106" s="121">
        <f>L20+M20+N20</f>
        <v/>
      </c>
    </row>
    <row r="107" ht="15" customHeight="1" s="72">
      <c r="A107" s="81" t="inlineStr">
        <is>
          <t>Macy's</t>
        </is>
      </c>
      <c r="B107" s="121">
        <f>L21+M21+N21</f>
        <v/>
      </c>
    </row>
    <row r="108" ht="15" customHeight="1" s="72">
      <c r="A108" s="81" t="inlineStr">
        <is>
          <t>Sephora</t>
        </is>
      </c>
      <c r="B108" s="121">
        <f>L22+M22+N22</f>
        <v/>
      </c>
    </row>
    <row r="109" ht="15" customHeight="1" s="72">
      <c r="A109" s="81" t="inlineStr">
        <is>
          <t>IKEA (US)</t>
        </is>
      </c>
      <c r="B109" s="121">
        <f>L23+M23+N23</f>
        <v/>
      </c>
    </row>
    <row r="112" ht="15.75" customHeight="1" s="72">
      <c r="A112" s="109" t="inlineStr">
        <is>
          <t>📊 차트 4: 전월 대비 증감률 (%) — 시즌별 변동 분석</t>
        </is>
      </c>
    </row>
    <row r="113" ht="15" customHeight="1" s="72">
      <c r="A113" s="76" t="inlineStr">
        <is>
          <t>쇼핑몰</t>
        </is>
      </c>
      <c r="B113" s="77" t="inlineStr">
        <is>
          <t>Jan→Feb</t>
        </is>
      </c>
      <c r="C113" s="77" t="inlineStr">
        <is>
          <t>Feb→Mar</t>
        </is>
      </c>
      <c r="D113" s="77" t="inlineStr">
        <is>
          <t>Mar→Apr</t>
        </is>
      </c>
      <c r="E113" s="77" t="inlineStr">
        <is>
          <t>Apr→May</t>
        </is>
      </c>
      <c r="F113" s="77" t="inlineStr">
        <is>
          <t>May→Jun</t>
        </is>
      </c>
      <c r="G113" s="77" t="inlineStr">
        <is>
          <t>Jun→Jul</t>
        </is>
      </c>
      <c r="H113" s="77" t="inlineStr">
        <is>
          <t>Jul→Aug</t>
        </is>
      </c>
      <c r="I113" s="77" t="inlineStr">
        <is>
          <t>Aug→Sep</t>
        </is>
      </c>
      <c r="J113" s="77" t="inlineStr">
        <is>
          <t>Sep→Oct</t>
        </is>
      </c>
      <c r="K113" s="77" t="inlineStr">
        <is>
          <t>Oct→Nov</t>
        </is>
      </c>
      <c r="L113" s="77" t="inlineStr">
        <is>
          <t>Nov→Dec</t>
        </is>
      </c>
    </row>
    <row r="114" ht="15" customHeight="1" s="72">
      <c r="A114" s="81" t="inlineStr">
        <is>
          <t>Amazon</t>
        </is>
      </c>
      <c r="B114" s="133">
        <f>IF(C6=0,0,(D6-C6)/C6)</f>
        <v/>
      </c>
      <c r="C114" s="133">
        <f>IF(D6=0,0,(E6-D6)/D6)</f>
        <v/>
      </c>
      <c r="D114" s="133">
        <f>IF(E6=0,0,(F6-E6)/E6)</f>
        <v/>
      </c>
      <c r="E114" s="133">
        <f>IF(F6=0,0,(G6-F6)/F6)</f>
        <v/>
      </c>
      <c r="F114" s="133">
        <f>IF(G6=0,0,(H6-G6)/G6)</f>
        <v/>
      </c>
      <c r="G114" s="133">
        <f>IF(H6=0,0,(I6-H6)/H6)</f>
        <v/>
      </c>
      <c r="H114" s="133">
        <f>IF(I6=0,0,(J6-I6)/I6)</f>
        <v/>
      </c>
      <c r="I114" s="133">
        <f>IF(J6=0,0,(K6-J6)/J6)</f>
        <v/>
      </c>
      <c r="J114" s="133">
        <f>IF(K6=0,0,(L6-K6)/K6)</f>
        <v/>
      </c>
      <c r="K114" s="133">
        <f>IF(L6=0,0,(M6-L6)/L6)</f>
        <v/>
      </c>
      <c r="L114" s="133">
        <f>IF(M6=0,0,(N6-M6)/M6)</f>
        <v/>
      </c>
    </row>
    <row r="115" ht="15" customHeight="1" s="72">
      <c r="A115" s="125" t="inlineStr">
        <is>
          <t>Walmart</t>
        </is>
      </c>
      <c r="B115" s="134">
        <f>IF(C7=0,0,(D7-C7)/C7)</f>
        <v/>
      </c>
      <c r="C115" s="134">
        <f>IF(D7=0,0,(E7-D7)/D7)</f>
        <v/>
      </c>
      <c r="D115" s="134">
        <f>IF(E7=0,0,(F7-E7)/E7)</f>
        <v/>
      </c>
      <c r="E115" s="134">
        <f>IF(F7=0,0,(G7-F7)/F7)</f>
        <v/>
      </c>
      <c r="F115" s="134">
        <f>IF(G7=0,0,(H7-G7)/G7)</f>
        <v/>
      </c>
      <c r="G115" s="134">
        <f>IF(H7=0,0,(I7-H7)/H7)</f>
        <v/>
      </c>
      <c r="H115" s="134">
        <f>IF(I7=0,0,(J7-I7)/I7)</f>
        <v/>
      </c>
      <c r="I115" s="134">
        <f>IF(J7=0,0,(K7-J7)/J7)</f>
        <v/>
      </c>
      <c r="J115" s="134">
        <f>IF(K7=0,0,(L7-K7)/K7)</f>
        <v/>
      </c>
      <c r="K115" s="134">
        <f>IF(L7=0,0,(M7-L7)/L7)</f>
        <v/>
      </c>
      <c r="L115" s="134">
        <f>IF(M7=0,0,(N7-M7)/M7)</f>
        <v/>
      </c>
    </row>
    <row r="116" ht="15" customHeight="1" s="72">
      <c r="A116" s="81" t="inlineStr">
        <is>
          <t>eBay</t>
        </is>
      </c>
      <c r="B116" s="133">
        <f>IF(C8=0,0,(D8-C8)/C8)</f>
        <v/>
      </c>
      <c r="C116" s="133">
        <f>IF(D8=0,0,(E8-D8)/D8)</f>
        <v/>
      </c>
      <c r="D116" s="133">
        <f>IF(E8=0,0,(F8-E8)/E8)</f>
        <v/>
      </c>
      <c r="E116" s="133">
        <f>IF(F8=0,0,(G8-F8)/F8)</f>
        <v/>
      </c>
      <c r="F116" s="133">
        <f>IF(G8=0,0,(H8-G8)/G8)</f>
        <v/>
      </c>
      <c r="G116" s="133">
        <f>IF(H8=0,0,(I8-H8)/H8)</f>
        <v/>
      </c>
      <c r="H116" s="133">
        <f>IF(I8=0,0,(J8-I8)/I8)</f>
        <v/>
      </c>
      <c r="I116" s="133">
        <f>IF(J8=0,0,(K8-J8)/J8)</f>
        <v/>
      </c>
      <c r="J116" s="133">
        <f>IF(K8=0,0,(L8-K8)/K8)</f>
        <v/>
      </c>
      <c r="K116" s="133">
        <f>IF(L8=0,0,(M8-L8)/L8)</f>
        <v/>
      </c>
      <c r="L116" s="133">
        <f>IF(M8=0,0,(N8-M8)/M8)</f>
        <v/>
      </c>
    </row>
    <row r="117" ht="15" customHeight="1" s="72">
      <c r="A117" s="125" t="inlineStr">
        <is>
          <t>Apple</t>
        </is>
      </c>
      <c r="B117" s="134">
        <f>IF(C9=0,0,(D9-C9)/C9)</f>
        <v/>
      </c>
      <c r="C117" s="134">
        <f>IF(D9=0,0,(E9-D9)/D9)</f>
        <v/>
      </c>
      <c r="D117" s="134">
        <f>IF(E9=0,0,(F9-E9)/E9)</f>
        <v/>
      </c>
      <c r="E117" s="134">
        <f>IF(F9=0,0,(G9-F9)/F9)</f>
        <v/>
      </c>
      <c r="F117" s="134">
        <f>IF(G9=0,0,(H9-G9)/G9)</f>
        <v/>
      </c>
      <c r="G117" s="134">
        <f>IF(H9=0,0,(I9-H9)/H9)</f>
        <v/>
      </c>
      <c r="H117" s="134">
        <f>IF(I9=0,0,(J9-I9)/I9)</f>
        <v/>
      </c>
      <c r="I117" s="134">
        <f>IF(J9=0,0,(K9-J9)/J9)</f>
        <v/>
      </c>
      <c r="J117" s="134">
        <f>IF(K9=0,0,(L9-K9)/K9)</f>
        <v/>
      </c>
      <c r="K117" s="134">
        <f>IF(L9=0,0,(M9-L9)/L9)</f>
        <v/>
      </c>
      <c r="L117" s="134">
        <f>IF(M9=0,0,(N9-M9)/M9)</f>
        <v/>
      </c>
    </row>
    <row r="118" ht="15" customHeight="1" s="72">
      <c r="A118" s="81" t="inlineStr">
        <is>
          <t>Target</t>
        </is>
      </c>
      <c r="B118" s="133">
        <f>IF(C10=0,0,(D10-C10)/C10)</f>
        <v/>
      </c>
      <c r="C118" s="133">
        <f>IF(D10=0,0,(E10-D10)/D10)</f>
        <v/>
      </c>
      <c r="D118" s="133">
        <f>IF(E10=0,0,(F10-E10)/E10)</f>
        <v/>
      </c>
      <c r="E118" s="133">
        <f>IF(F10=0,0,(G10-F10)/F10)</f>
        <v/>
      </c>
      <c r="F118" s="133">
        <f>IF(G10=0,0,(H10-G10)/G10)</f>
        <v/>
      </c>
      <c r="G118" s="133">
        <f>IF(H10=0,0,(I10-H10)/H10)</f>
        <v/>
      </c>
      <c r="H118" s="133">
        <f>IF(I10=0,0,(J10-I10)/I10)</f>
        <v/>
      </c>
      <c r="I118" s="133">
        <f>IF(J10=0,0,(K10-J10)/J10)</f>
        <v/>
      </c>
      <c r="J118" s="133">
        <f>IF(K10=0,0,(L10-K10)/K10)</f>
        <v/>
      </c>
      <c r="K118" s="133">
        <f>IF(L10=0,0,(M10-L10)/L10)</f>
        <v/>
      </c>
      <c r="L118" s="133">
        <f>IF(M10=0,0,(N10-M10)/M10)</f>
        <v/>
      </c>
    </row>
    <row r="119" ht="15" customHeight="1" s="72">
      <c r="A119" s="125" t="inlineStr">
        <is>
          <t>Costco</t>
        </is>
      </c>
      <c r="B119" s="134">
        <f>IF(C11=0,0,(D11-C11)/C11)</f>
        <v/>
      </c>
      <c r="C119" s="134">
        <f>IF(D11=0,0,(E11-D11)/D11)</f>
        <v/>
      </c>
      <c r="D119" s="134">
        <f>IF(E11=0,0,(F11-E11)/E11)</f>
        <v/>
      </c>
      <c r="E119" s="134">
        <f>IF(F11=0,0,(G11-F11)/F11)</f>
        <v/>
      </c>
      <c r="F119" s="134">
        <f>IF(G11=0,0,(H11-G11)/G11)</f>
        <v/>
      </c>
      <c r="G119" s="134">
        <f>IF(H11=0,0,(I11-H11)/H11)</f>
        <v/>
      </c>
      <c r="H119" s="134">
        <f>IF(I11=0,0,(J11-I11)/I11)</f>
        <v/>
      </c>
      <c r="I119" s="134">
        <f>IF(J11=0,0,(K11-J11)/J11)</f>
        <v/>
      </c>
      <c r="J119" s="134">
        <f>IF(K11=0,0,(L11-K11)/K11)</f>
        <v/>
      </c>
      <c r="K119" s="134">
        <f>IF(L11=0,0,(M11-L11)/L11)</f>
        <v/>
      </c>
      <c r="L119" s="134">
        <f>IF(M11=0,0,(N11-M11)/M11)</f>
        <v/>
      </c>
    </row>
    <row r="120" ht="15" customHeight="1" s="72">
      <c r="A120" s="81" t="inlineStr">
        <is>
          <t>Temu</t>
        </is>
      </c>
      <c r="B120" s="133">
        <f>IF(C12=0,0,(D12-C12)/C12)</f>
        <v/>
      </c>
      <c r="C120" s="133">
        <f>IF(D12=0,0,(E12-D12)/D12)</f>
        <v/>
      </c>
      <c r="D120" s="133">
        <f>IF(E12=0,0,(F12-E12)/E12)</f>
        <v/>
      </c>
      <c r="E120" s="133">
        <f>IF(F12=0,0,(G12-F12)/F12)</f>
        <v/>
      </c>
      <c r="F120" s="133">
        <f>IF(G12=0,0,(H12-G12)/G12)</f>
        <v/>
      </c>
      <c r="G120" s="133">
        <f>IF(H12=0,0,(I12-H12)/H12)</f>
        <v/>
      </c>
      <c r="H120" s="133">
        <f>IF(I12=0,0,(J12-I12)/I12)</f>
        <v/>
      </c>
      <c r="I120" s="133">
        <f>IF(J12=0,0,(K12-J12)/J12)</f>
        <v/>
      </c>
      <c r="J120" s="133">
        <f>IF(K12=0,0,(L12-K12)/K12)</f>
        <v/>
      </c>
      <c r="K120" s="133">
        <f>IF(L12=0,0,(M12-L12)/L12)</f>
        <v/>
      </c>
      <c r="L120" s="133">
        <f>IF(M12=0,0,(N12-M12)/M12)</f>
        <v/>
      </c>
    </row>
    <row r="121" ht="15" customHeight="1" s="72">
      <c r="A121" s="125" t="inlineStr">
        <is>
          <t>Etsy</t>
        </is>
      </c>
      <c r="B121" s="134">
        <f>IF(C13=0,0,(D13-C13)/C13)</f>
        <v/>
      </c>
      <c r="C121" s="134">
        <f>IF(D13=0,0,(E13-D13)/D13)</f>
        <v/>
      </c>
      <c r="D121" s="134">
        <f>IF(E13=0,0,(F13-E13)/E13)</f>
        <v/>
      </c>
      <c r="E121" s="134">
        <f>IF(F13=0,0,(G13-F13)/F13)</f>
        <v/>
      </c>
      <c r="F121" s="134">
        <f>IF(G13=0,0,(H13-G13)/G13)</f>
        <v/>
      </c>
      <c r="G121" s="134">
        <f>IF(H13=0,0,(I13-H13)/H13)</f>
        <v/>
      </c>
      <c r="H121" s="134">
        <f>IF(I13=0,0,(J13-I13)/I13)</f>
        <v/>
      </c>
      <c r="I121" s="134">
        <f>IF(J13=0,0,(K13-J13)/J13)</f>
        <v/>
      </c>
      <c r="J121" s="134">
        <f>IF(K13=0,0,(L13-K13)/K13)</f>
        <v/>
      </c>
      <c r="K121" s="134">
        <f>IF(L13=0,0,(M13-L13)/L13)</f>
        <v/>
      </c>
      <c r="L121" s="134">
        <f>IF(M13=0,0,(N13-M13)/M13)</f>
        <v/>
      </c>
    </row>
    <row r="122" ht="15" customHeight="1" s="72">
      <c r="A122" s="81" t="inlineStr">
        <is>
          <t>Best Buy</t>
        </is>
      </c>
      <c r="B122" s="133">
        <f>IF(C14=0,0,(D14-C14)/C14)</f>
        <v/>
      </c>
      <c r="C122" s="133">
        <f>IF(D14=0,0,(E14-D14)/D14)</f>
        <v/>
      </c>
      <c r="D122" s="133">
        <f>IF(E14=0,0,(F14-E14)/E14)</f>
        <v/>
      </c>
      <c r="E122" s="133">
        <f>IF(F14=0,0,(G14-F14)/F14)</f>
        <v/>
      </c>
      <c r="F122" s="133">
        <f>IF(G14=0,0,(H14-G14)/G14)</f>
        <v/>
      </c>
      <c r="G122" s="133">
        <f>IF(H14=0,0,(I14-H14)/H14)</f>
        <v/>
      </c>
      <c r="H122" s="133">
        <f>IF(I14=0,0,(J14-I14)/I14)</f>
        <v/>
      </c>
      <c r="I122" s="133">
        <f>IF(J14=0,0,(K14-J14)/J14)</f>
        <v/>
      </c>
      <c r="J122" s="133">
        <f>IF(K14=0,0,(L14-K14)/K14)</f>
        <v/>
      </c>
      <c r="K122" s="133">
        <f>IF(L14=0,0,(M14-L14)/L14)</f>
        <v/>
      </c>
      <c r="L122" s="133">
        <f>IF(M14=0,0,(N14-M14)/M14)</f>
        <v/>
      </c>
    </row>
    <row r="123" ht="15" customHeight="1" s="72">
      <c r="A123" s="125" t="inlineStr">
        <is>
          <t>Nike</t>
        </is>
      </c>
      <c r="B123" s="134">
        <f>IF(C15=0,0,(D15-C15)/C15)</f>
        <v/>
      </c>
      <c r="C123" s="134">
        <f>IF(D15=0,0,(E15-D15)/D15)</f>
        <v/>
      </c>
      <c r="D123" s="134">
        <f>IF(E15=0,0,(F15-E15)/E15)</f>
        <v/>
      </c>
      <c r="E123" s="134">
        <f>IF(F15=0,0,(G15-F15)/F15)</f>
        <v/>
      </c>
      <c r="F123" s="134">
        <f>IF(G15=0,0,(H15-G15)/G15)</f>
        <v/>
      </c>
      <c r="G123" s="134">
        <f>IF(H15=0,0,(I15-H15)/H15)</f>
        <v/>
      </c>
      <c r="H123" s="134">
        <f>IF(I15=0,0,(J15-I15)/I15)</f>
        <v/>
      </c>
      <c r="I123" s="134">
        <f>IF(J15=0,0,(K15-J15)/J15)</f>
        <v/>
      </c>
      <c r="J123" s="134">
        <f>IF(K15=0,0,(L15-K15)/K15)</f>
        <v/>
      </c>
      <c r="K123" s="134">
        <f>IF(L15=0,0,(M15-L15)/L15)</f>
        <v/>
      </c>
      <c r="L123" s="134">
        <f>IF(M15=0,0,(N15-M15)/M15)</f>
        <v/>
      </c>
    </row>
    <row r="124" ht="15" customHeight="1" s="72">
      <c r="A124" s="81" t="inlineStr">
        <is>
          <t>Home Depot</t>
        </is>
      </c>
      <c r="B124" s="133">
        <f>IF(C16=0,0,(D16-C16)/C16)</f>
        <v/>
      </c>
      <c r="C124" s="133">
        <f>IF(D16=0,0,(E16-D16)/D16)</f>
        <v/>
      </c>
      <c r="D124" s="133">
        <f>IF(E16=0,0,(F16-E16)/E16)</f>
        <v/>
      </c>
      <c r="E124" s="133">
        <f>IF(F16=0,0,(G16-F16)/F16)</f>
        <v/>
      </c>
      <c r="F124" s="133">
        <f>IF(G16=0,0,(H16-G16)/G16)</f>
        <v/>
      </c>
      <c r="G124" s="133">
        <f>IF(H16=0,0,(I16-H16)/H16)</f>
        <v/>
      </c>
      <c r="H124" s="133">
        <f>IF(I16=0,0,(J16-I16)/I16)</f>
        <v/>
      </c>
      <c r="I124" s="133">
        <f>IF(J16=0,0,(K16-J16)/J16)</f>
        <v/>
      </c>
      <c r="J124" s="133">
        <f>IF(K16=0,0,(L16-K16)/K16)</f>
        <v/>
      </c>
      <c r="K124" s="133">
        <f>IF(L16=0,0,(M16-L16)/L16)</f>
        <v/>
      </c>
      <c r="L124" s="133">
        <f>IF(M16=0,0,(N16-M16)/M16)</f>
        <v/>
      </c>
    </row>
    <row r="125" ht="15" customHeight="1" s="72">
      <c r="A125" s="125" t="inlineStr">
        <is>
          <t>Shein</t>
        </is>
      </c>
      <c r="B125" s="134">
        <f>IF(C17=0,0,(D17-C17)/C17)</f>
        <v/>
      </c>
      <c r="C125" s="134">
        <f>IF(D17=0,0,(E17-D17)/D17)</f>
        <v/>
      </c>
      <c r="D125" s="134">
        <f>IF(E17=0,0,(F17-E17)/E17)</f>
        <v/>
      </c>
      <c r="E125" s="134">
        <f>IF(F17=0,0,(G17-F17)/F17)</f>
        <v/>
      </c>
      <c r="F125" s="134">
        <f>IF(G17=0,0,(H17-G17)/G17)</f>
        <v/>
      </c>
      <c r="G125" s="134">
        <f>IF(H17=0,0,(I17-H17)/H17)</f>
        <v/>
      </c>
      <c r="H125" s="134">
        <f>IF(I17=0,0,(J17-I17)/I17)</f>
        <v/>
      </c>
      <c r="I125" s="134">
        <f>IF(J17=0,0,(K17-J17)/J17)</f>
        <v/>
      </c>
      <c r="J125" s="134">
        <f>IF(K17=0,0,(L17-K17)/K17)</f>
        <v/>
      </c>
      <c r="K125" s="134">
        <f>IF(L17=0,0,(M17-L17)/L17)</f>
        <v/>
      </c>
      <c r="L125" s="134">
        <f>IF(M17=0,0,(N17-M17)/M17)</f>
        <v/>
      </c>
    </row>
    <row r="126" ht="15" customHeight="1" s="72">
      <c r="A126" s="81" t="inlineStr">
        <is>
          <t>AliExpress</t>
        </is>
      </c>
      <c r="B126" s="133">
        <f>IF(C18=0,0,(D18-C18)/C18)</f>
        <v/>
      </c>
      <c r="C126" s="133">
        <f>IF(D18=0,0,(E18-D18)/D18)</f>
        <v/>
      </c>
      <c r="D126" s="133">
        <f>IF(E18=0,0,(F18-E18)/E18)</f>
        <v/>
      </c>
      <c r="E126" s="133">
        <f>IF(F18=0,0,(G18-F18)/F18)</f>
        <v/>
      </c>
      <c r="F126" s="133">
        <f>IF(G18=0,0,(H18-G18)/G18)</f>
        <v/>
      </c>
      <c r="G126" s="133">
        <f>IF(H18=0,0,(I18-H18)/H18)</f>
        <v/>
      </c>
      <c r="H126" s="133">
        <f>IF(I18=0,0,(J18-I18)/I18)</f>
        <v/>
      </c>
      <c r="I126" s="133">
        <f>IF(J18=0,0,(K18-J18)/J18)</f>
        <v/>
      </c>
      <c r="J126" s="133">
        <f>IF(K18=0,0,(L18-K18)/K18)</f>
        <v/>
      </c>
      <c r="K126" s="133">
        <f>IF(L18=0,0,(M18-L18)/L18)</f>
        <v/>
      </c>
      <c r="L126" s="133">
        <f>IF(M18=0,0,(N18-M18)/M18)</f>
        <v/>
      </c>
    </row>
    <row r="127" ht="15" customHeight="1" s="72">
      <c r="A127" s="125" t="inlineStr">
        <is>
          <t>Wayfair</t>
        </is>
      </c>
      <c r="B127" s="134">
        <f>IF(C19=0,0,(D19-C19)/C19)</f>
        <v/>
      </c>
      <c r="C127" s="134">
        <f>IF(D19=0,0,(E19-D19)/D19)</f>
        <v/>
      </c>
      <c r="D127" s="134">
        <f>IF(E19=0,0,(F19-E19)/E19)</f>
        <v/>
      </c>
      <c r="E127" s="134">
        <f>IF(F19=0,0,(G19-F19)/F19)</f>
        <v/>
      </c>
      <c r="F127" s="134">
        <f>IF(G19=0,0,(H19-G19)/G19)</f>
        <v/>
      </c>
      <c r="G127" s="134">
        <f>IF(H19=0,0,(I19-H19)/H19)</f>
        <v/>
      </c>
      <c r="H127" s="134">
        <f>IF(I19=0,0,(J19-I19)/I19)</f>
        <v/>
      </c>
      <c r="I127" s="134">
        <f>IF(J19=0,0,(K19-J19)/J19)</f>
        <v/>
      </c>
      <c r="J127" s="134">
        <f>IF(K19=0,0,(L19-K19)/K19)</f>
        <v/>
      </c>
      <c r="K127" s="134">
        <f>IF(L19=0,0,(M19-L19)/L19)</f>
        <v/>
      </c>
      <c r="L127" s="134">
        <f>IF(M19=0,0,(N19-M19)/M19)</f>
        <v/>
      </c>
    </row>
    <row r="128" ht="15" customHeight="1" s="72">
      <c r="A128" s="81" t="inlineStr">
        <is>
          <t>Chewy</t>
        </is>
      </c>
      <c r="B128" s="133">
        <f>IF(C20=0,0,(D20-C20)/C20)</f>
        <v/>
      </c>
      <c r="C128" s="133">
        <f>IF(D20=0,0,(E20-D20)/D20)</f>
        <v/>
      </c>
      <c r="D128" s="133">
        <f>IF(E20=0,0,(F20-E20)/E20)</f>
        <v/>
      </c>
      <c r="E128" s="133">
        <f>IF(F20=0,0,(G20-F20)/F20)</f>
        <v/>
      </c>
      <c r="F128" s="133">
        <f>IF(G20=0,0,(H20-G20)/G20)</f>
        <v/>
      </c>
      <c r="G128" s="133">
        <f>IF(H20=0,0,(I20-H20)/H20)</f>
        <v/>
      </c>
      <c r="H128" s="133">
        <f>IF(I20=0,0,(J20-I20)/I20)</f>
        <v/>
      </c>
      <c r="I128" s="133">
        <f>IF(J20=0,0,(K20-J20)/J20)</f>
        <v/>
      </c>
      <c r="J128" s="133">
        <f>IF(K20=0,0,(L20-K20)/K20)</f>
        <v/>
      </c>
      <c r="K128" s="133">
        <f>IF(L20=0,0,(M20-L20)/L20)</f>
        <v/>
      </c>
      <c r="L128" s="133">
        <f>IF(M20=0,0,(N20-M20)/M20)</f>
        <v/>
      </c>
    </row>
    <row r="129" ht="15" customHeight="1" s="72">
      <c r="A129" s="125" t="inlineStr">
        <is>
          <t>Macy's</t>
        </is>
      </c>
      <c r="B129" s="134">
        <f>IF(C21=0,0,(D21-C21)/C21)</f>
        <v/>
      </c>
      <c r="C129" s="134">
        <f>IF(D21=0,0,(E21-D21)/D21)</f>
        <v/>
      </c>
      <c r="D129" s="134">
        <f>IF(E21=0,0,(F21-E21)/E21)</f>
        <v/>
      </c>
      <c r="E129" s="134">
        <f>IF(F21=0,0,(G21-F21)/F21)</f>
        <v/>
      </c>
      <c r="F129" s="134">
        <f>IF(G21=0,0,(H21-G21)/G21)</f>
        <v/>
      </c>
      <c r="G129" s="134">
        <f>IF(H21=0,0,(I21-H21)/H21)</f>
        <v/>
      </c>
      <c r="H129" s="134">
        <f>IF(I21=0,0,(J21-I21)/I21)</f>
        <v/>
      </c>
      <c r="I129" s="134">
        <f>IF(J21=0,0,(K21-J21)/J21)</f>
        <v/>
      </c>
      <c r="J129" s="134">
        <f>IF(K21=0,0,(L21-K21)/K21)</f>
        <v/>
      </c>
      <c r="K129" s="134">
        <f>IF(L21=0,0,(M21-L21)/L21)</f>
        <v/>
      </c>
      <c r="L129" s="134">
        <f>IF(M21=0,0,(N21-M21)/M21)</f>
        <v/>
      </c>
    </row>
    <row r="130" ht="15" customHeight="1" s="72">
      <c r="A130" s="81" t="inlineStr">
        <is>
          <t>Sephora</t>
        </is>
      </c>
      <c r="B130" s="133">
        <f>IF(C22=0,0,(D22-C22)/C22)</f>
        <v/>
      </c>
      <c r="C130" s="133">
        <f>IF(D22=0,0,(E22-D22)/D22)</f>
        <v/>
      </c>
      <c r="D130" s="133">
        <f>IF(E22=0,0,(F22-E22)/E22)</f>
        <v/>
      </c>
      <c r="E130" s="133">
        <f>IF(F22=0,0,(G22-F22)/F22)</f>
        <v/>
      </c>
      <c r="F130" s="133">
        <f>IF(G22=0,0,(H22-G22)/G22)</f>
        <v/>
      </c>
      <c r="G130" s="133">
        <f>IF(H22=0,0,(I22-H22)/H22)</f>
        <v/>
      </c>
      <c r="H130" s="133">
        <f>IF(I22=0,0,(J22-I22)/I22)</f>
        <v/>
      </c>
      <c r="I130" s="133">
        <f>IF(J22=0,0,(K22-J22)/J22)</f>
        <v/>
      </c>
      <c r="J130" s="133">
        <f>IF(K22=0,0,(L22-K22)/K22)</f>
        <v/>
      </c>
      <c r="K130" s="133">
        <f>IF(L22=0,0,(M22-L22)/L22)</f>
        <v/>
      </c>
      <c r="L130" s="133">
        <f>IF(M22=0,0,(N22-M22)/M22)</f>
        <v/>
      </c>
    </row>
    <row r="131" ht="15" customHeight="1" s="72">
      <c r="A131" s="125" t="inlineStr">
        <is>
          <t>IKEA (US)</t>
        </is>
      </c>
      <c r="B131" s="134">
        <f>IF(C23=0,0,(D23-C23)/C23)</f>
        <v/>
      </c>
      <c r="C131" s="134">
        <f>IF(D23=0,0,(E23-D23)/D23)</f>
        <v/>
      </c>
      <c r="D131" s="134">
        <f>IF(E23=0,0,(F23-E23)/E23)</f>
        <v/>
      </c>
      <c r="E131" s="134">
        <f>IF(F23=0,0,(G23-F23)/F23)</f>
        <v/>
      </c>
      <c r="F131" s="134">
        <f>IF(G23=0,0,(H23-G23)/G23)</f>
        <v/>
      </c>
      <c r="G131" s="134">
        <f>IF(H23=0,0,(I23-H23)/H23)</f>
        <v/>
      </c>
      <c r="H131" s="134">
        <f>IF(I23=0,0,(J23-I23)/I23)</f>
        <v/>
      </c>
      <c r="I131" s="134">
        <f>IF(J23=0,0,(K23-J23)/J23)</f>
        <v/>
      </c>
      <c r="J131" s="134">
        <f>IF(K23=0,0,(L23-K23)/K23)</f>
        <v/>
      </c>
      <c r="K131" s="134">
        <f>IF(L23=0,0,(M23-L23)/L23)</f>
        <v/>
      </c>
      <c r="L131" s="134">
        <f>IF(M23=0,0,(N23-M23)/M23)</f>
        <v/>
      </c>
    </row>
    <row r="132" ht="15" customHeight="1" s="72">
      <c r="A132" s="118" t="inlineStr">
        <is>
          <t>※ 초록(&gt;+5%) = 성장 | 빨강(&lt;-5%) = 감소 | Nov: Black Friday/Cyber Monday | Spring: 홈, Sep: 전자, Q4: 전체</t>
        </is>
      </c>
    </row>
    <row r="135" ht="15.75" customHeight="1" s="72">
      <c r="A135" s="135" t="inlineStr">
        <is>
          <t>💡 2025 핵심 인사이트</t>
        </is>
      </c>
    </row>
    <row r="136" ht="12" customHeight="1" s="72">
      <c r="A136" s="136" t="inlineStr">
        <is>
          <t>① Temu 급성장: Jun 2025 피크 2.11B 방문 (Similarweb/Statista 확인) — 미국 이커머스 최대 성장률 (+57% YoY)</t>
        </is>
      </c>
    </row>
    <row r="137" ht="12" customHeight="1" s="72">
      <c r="A137" s="136" t="inlineStr">
        <is>
          <t>② AI 레퍼럴 7배 증가: 2025년 AI 기반 쇼핑 트래픽 41M/월 도달 (Walmart, Target, Etsy 1,600%↑)</t>
        </is>
      </c>
    </row>
    <row r="138" ht="12" customHeight="1" s="72">
      <c r="A138" s="137" t="inlineStr">
        <is>
          <t>③ 앱 vs 웹 전환: 이커머스 앱 세션 +13% YoY, 웹 방문 -1% YoY (Shein/Temu 앱 중심)</t>
        </is>
      </c>
    </row>
    <row r="139" ht="12" customHeight="1" s="72">
      <c r="A139" s="136" t="inlineStr">
        <is>
          <t>④ Q4 Holiday 효과: 대부분 스토어 Nov-Dec 20~60% 트래픽 급증 (Black Friday/Cyber Monday)</t>
        </is>
      </c>
    </row>
    <row r="140" ht="12" customHeight="1" s="72">
      <c r="A140" s="136" t="inlineStr">
        <is>
          <t>⑤ AliExpress Jul 피크: Singles Day 준비 기간 1.44B 방문 추정 — 글로벌 스토어 특유의 시즌 패턴</t>
        </is>
      </c>
    </row>
  </sheetData>
  <mergeCells count="13">
    <mergeCell ref="A89:Q89"/>
    <mergeCell ref="A112:M112"/>
    <mergeCell ref="A58:Q58"/>
    <mergeCell ref="A135:Q135"/>
    <mergeCell ref="A27:Q27"/>
    <mergeCell ref="A132:M132"/>
    <mergeCell ref="A136:Q136"/>
    <mergeCell ref="A139:Q139"/>
    <mergeCell ref="A140:Q140"/>
    <mergeCell ref="A2:Q2"/>
    <mergeCell ref="A138:Q138"/>
    <mergeCell ref="A137:Q137"/>
    <mergeCell ref="A1:Q1"/>
  </mergeCells>
  <conditionalFormatting sqref="B114:L131">
    <cfRule type="cellIs" rank="0" priority="2" equalAverage="0" operator="greaterThan" aboveAverage="0" dxfId="22" text="" percent="0" bottom="0">
      <formula>0.05</formula>
    </cfRule>
    <cfRule type="cellIs" rank="0" priority="3" equalAverage="0" operator="lessThan" aboveAverage="0" dxfId="23" text="" percent="0" bottom="0">
      <formula>-0.05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22" customWidth="1" style="71" min="1" max="1"/>
    <col width="45" customWidth="1" style="71" min="2" max="2"/>
    <col width="100" customWidth="1" style="71" min="3" max="3"/>
  </cols>
  <sheetData>
    <row r="1" ht="17.25" customHeight="1" s="72">
      <c r="A1" s="138" t="inlineStr">
        <is>
          <t>데이터 출처 및 참고자료 (2024-2025)</t>
        </is>
      </c>
    </row>
    <row r="3" ht="15" customHeight="1" s="72">
      <c r="A3" s="139" t="inlineStr">
        <is>
          <t>카테고리</t>
        </is>
      </c>
      <c r="B3" s="139" t="inlineStr">
        <is>
          <t>출처</t>
        </is>
      </c>
      <c r="C3" s="139" t="inlineStr">
        <is>
          <t>데이터 포인트 및 산출 방법</t>
        </is>
      </c>
    </row>
    <row r="4" ht="15" customHeight="1" s="72">
      <c r="A4" s="81" t="inlineStr">
        <is>
          <t>US 전체 이커머스</t>
        </is>
      </c>
      <c r="B4" s="82" t="inlineStr">
        <is>
          <t>eMarketer 2024, Oberlo Nov 2024, SellersCommerce</t>
        </is>
      </c>
      <c r="C4" s="82" t="inlineStr">
        <is>
          <t>Amazon 40.4% ($491.7B), Walmart 6.4% ($93.9B), Apple 3.6% ($41.7B), eBay 3.0% ($33.9B), 전체 $1,190B</t>
        </is>
      </c>
    </row>
    <row r="5" ht="15" customHeight="1" s="72">
      <c r="A5" s="140" t="inlineStr">
        <is>
          <t>전자제품 점유율</t>
        </is>
      </c>
      <c r="B5" s="82" t="inlineStr">
        <is>
          <t>DBBNWA, Statista, RetailCustomerExperience 2024</t>
        </is>
      </c>
      <c r="C5" s="82" t="inlineStr">
        <is>
          <t>Best Buy 31.8%, Amazon 30.3%, Walmart 13.1%, Costco 5.2%, Target 4.6% (CE 전체 지출 기준 2024.6)</t>
        </is>
      </c>
    </row>
    <row r="6" ht="23.25" customHeight="1" s="72">
      <c r="A6" s="140" t="inlineStr">
        <is>
          <t>패션/의류 점유율</t>
        </is>
      </c>
      <c r="B6" s="82" t="inlineStr">
        <is>
          <t>ecdb.com, Statista, CNBC 2025, Fashion Dive, SecondMeasure</t>
        </is>
      </c>
      <c r="C6" s="82" t="inlineStr">
        <is>
          <t>Amazon $34.7B(21.8%), Walmart $8.9B(5.6%), Shein $11.4B(~5.1%/패스트패션50%), Macy's $6.29B(3.9%), Nike $4.72B(3.0%), H&amp;M $2.3B(~1.4%/패스트패션16%), Zara $1.9B(~1.2%/패스트패션13%) — ÷$159.4B</t>
        </is>
      </c>
    </row>
    <row r="7" ht="23.25" customHeight="1" s="72">
      <c r="A7" s="140" t="inlineStr">
        <is>
          <t>홈/가구 점유율</t>
        </is>
      </c>
      <c r="B7" s="82" t="inlineStr">
        <is>
          <t>Statista 2023, ecdb.com, IKEA FY24 US Annual</t>
        </is>
      </c>
      <c r="C7" s="82" t="inlineStr">
        <is>
          <t>Home Depot $22.5B(12.4%), Amazon $9.3B(~10.4%), Wayfair $11.9B(6.5%), Walmart $7.1B(~5.5%), IKEA $1.9B(~1.0%) — ÷$182B</t>
        </is>
      </c>
    </row>
    <row r="8" ht="15" customHeight="1" s="72">
      <c r="A8" s="140" t="inlineStr">
        <is>
          <t>그로서리 점유율</t>
        </is>
      </c>
      <c r="B8" s="82" t="inlineStr">
        <is>
          <t>eMarketer Digital Grocery 2025</t>
        </is>
      </c>
      <c r="C8" s="82" t="inlineStr">
        <is>
          <t>Walmart 31.6%, Amazon 22.6%, Instacart ~21.6%, Kroger 8.6%, Target 3.5% (공식 발표 %)</t>
        </is>
      </c>
    </row>
    <row r="9" ht="15" customHeight="1" s="72">
      <c r="A9" s="140" t="inlineStr">
        <is>
          <t>뷰티/건강 점유율</t>
        </is>
      </c>
      <c r="B9" s="82" t="inlineStr">
        <is>
          <t>Statista, Retail Dive, Front Row Group 2024</t>
        </is>
      </c>
      <c r="C9" s="82" t="inlineStr">
        <is>
          <t>Amazon ~15% (건강 33%, 뷰티 10% 가중평균), Walmart ~14%, Sephora $2.8B(4.6%), Ulta $2.1B(3.4%) — ÷$61B</t>
        </is>
      </c>
    </row>
    <row r="10" ht="15" customHeight="1" s="72">
      <c r="A10" s="140" t="inlineStr">
        <is>
          <t>펫 점유율</t>
        </is>
      </c>
      <c r="B10" s="82" t="inlineStr">
        <is>
          <t>Adthena Jan 2026, PetfoodIndustry, Packaged Facts</t>
        </is>
      </c>
      <c r="C10" s="82" t="inlineStr">
        <is>
          <t>Amazon ~50%(매출), Chewy ~30%($11.86B), Walmart ~10%, PetSmart/Petco 각 ~4% — ÷$21B</t>
        </is>
      </c>
    </row>
    <row r="11" ht="15" customHeight="1" s="72">
      <c r="A11" s="140" t="inlineStr">
        <is>
          <t>스포츠 점유율</t>
        </is>
      </c>
      <c r="B11" s="82" t="inlineStr">
        <is>
          <t>PS Market Research, Dick's Annual 2024</t>
        </is>
      </c>
      <c r="C11" s="82" t="inlineStr">
        <is>
          <t>Amazon ~25%(추정), Dick's $1.3B(~8.7%), Nike DTC(~7.6%), REI(~3.3%) — ÷$15B</t>
        </is>
      </c>
    </row>
    <row r="12" ht="23.25" customHeight="1" s="72">
      <c r="A12" s="140" t="inlineStr">
        <is>
          <t>장난감 점유율</t>
        </is>
      </c>
      <c r="B12" s="82" t="inlineStr">
        <is>
          <t>GlobeNewswire, Renub Research 2025, Numerator, Kidscreen</t>
        </is>
      </c>
      <c r="C12" s="82" t="inlineStr">
        <is>
          <t>Amazon ~35%, Walmart ~25%, LEGO 11.3%(US 완구 1위 브랜드, 2위 대비 3배), Target ~10%, GameStop ~5% — ÷$18B</t>
        </is>
      </c>
    </row>
    <row r="13" ht="15" customHeight="1" s="72">
      <c r="A13" s="140" t="inlineStr">
        <is>
          <t>오피스 점유율</t>
        </is>
      </c>
      <c r="B13" s="82" t="inlineStr">
        <is>
          <t>IBISWorld, BusinessWire 2023-2024</t>
        </is>
      </c>
      <c r="C13" s="82" t="inlineStr">
        <is>
          <t>Staples ~30%(전문몰47%×온라인비중), Amazon ~28%, Office Depot ~22% — ÷$23B</t>
        </is>
      </c>
    </row>
    <row r="14" ht="15" customHeight="1" s="72">
      <c r="A14" s="140" t="inlineStr">
        <is>
          <t>글로벌 — Temu</t>
        </is>
      </c>
      <c r="B14" s="82" t="inlineStr">
        <is>
          <t>Notta/Mobiloud 2025, Marketplace Pulse</t>
        </is>
      </c>
      <c r="C14" s="82" t="inlineStr">
        <is>
          <t>US $17B (전체 $53.9-70.8B의 ~30%), US 시장점유율 ~1.3%, 디스카운트 경쟁 (de minimis 관세 영향)</t>
        </is>
      </c>
    </row>
    <row r="15" ht="15" customHeight="1" s="72">
      <c r="A15" s="140" t="inlineStr">
        <is>
          <t>글로벌 — Shein</t>
        </is>
      </c>
      <c r="B15" s="82" t="inlineStr">
        <is>
          <t>BusinessOfApps, FashionDive, SecondMeasure 2024</t>
        </is>
      </c>
      <c r="C15" s="82" t="inlineStr">
        <is>
          <t>US $11.4B, US 패스트패션 50%, 전체 의류시장 2위 브랜드, US 이커머스 ~1.0%</t>
        </is>
      </c>
    </row>
    <row r="16" ht="15" customHeight="1" s="72">
      <c r="A16" s="140" t="inlineStr">
        <is>
          <t>글로벌 — AliExpress</t>
        </is>
      </c>
      <c r="B16" s="82" t="inlineStr">
        <is>
          <t>TechJury 2024</t>
        </is>
      </c>
      <c r="C16" s="82" t="inlineStr">
        <is>
          <t>US $9.6B (전체의 ~15%), US 이커머스 ~0.8%, 플랫폼 매출 +10~24% YoY (Q1-Q2 2025), 관세 145% 영향 주시</t>
        </is>
      </c>
    </row>
    <row r="17" ht="15" customHeight="1" s="72">
      <c r="A17" s="140" t="inlineStr">
        <is>
          <t>글로벌 — IKEA</t>
        </is>
      </c>
      <c r="B17" s="82" t="inlineStr">
        <is>
          <t>IKEA US FY24 Annual Summary</t>
        </is>
      </c>
      <c r="C17" s="82" t="inlineStr">
        <is>
          <t>US e-com $1.9B, 총 US 매출 $5.5B, 글로벌 가구 15%, 자사몰 독점</t>
        </is>
      </c>
    </row>
    <row r="18" ht="15" customHeight="1" s="72">
      <c r="A18" s="140" t="inlineStr">
        <is>
          <t>글로벌 — H&amp;M</t>
        </is>
      </c>
      <c r="B18" s="82" t="inlineStr">
        <is>
          <t>H&amp;M Full-Year Report 2024, CompaniesMarketCap</t>
        </is>
      </c>
      <c r="C18" s="82" t="inlineStr">
        <is>
          <t>US $2.3B 온라인, 글로벌 $22.3B, US 패스트패션 16%, 온라인 비중 30%</t>
        </is>
      </c>
    </row>
    <row r="19" ht="15" customHeight="1" s="72">
      <c r="A19" s="140" t="inlineStr">
        <is>
          <t>글로벌 — Zara</t>
        </is>
      </c>
      <c r="B19" s="82" t="inlineStr">
        <is>
          <t>Inditex FY2024, Statista eCommerceDB</t>
        </is>
      </c>
      <c r="C19" s="82" t="inlineStr">
        <is>
          <t>US $1.9B (Inditex US 18%, Zara=64% of online), 패스트패션 13%</t>
        </is>
      </c>
    </row>
    <row r="20" ht="15" customHeight="1" s="72">
      <c r="A20" s="140" t="inlineStr">
        <is>
          <t>글로벌 — LEGO</t>
        </is>
      </c>
      <c r="B20" s="82" t="inlineStr">
        <is>
          <t>Numerator 2024, Kidscreen 2024</t>
        </is>
      </c>
      <c r="C20" s="82" t="inlineStr">
        <is>
          <t>US 완구시장 11.3% (2위 대비 3배), US 수익 38% 비중, lego.com US $760M</t>
        </is>
      </c>
    </row>
    <row r="21" ht="15" customHeight="1" s="72">
      <c r="A21" s="140" t="inlineStr">
        <is>
          <t>카테고리 시장규모</t>
        </is>
      </c>
      <c r="B21" s="82" t="inlineStr">
        <is>
          <t>Mobiloud, SellersCommerce, Podbase 2024</t>
        </is>
      </c>
      <c r="C21" s="80" t="inlineStr">
        <is>
          <t>전자 $120B, 패션 $159.4B, 홈 $182B, 그로서리 $205B, 뷰티 $61B, 펫 $21B, 장난감 $18B, 스포츠 $15B, 오피스 $23B</t>
        </is>
      </c>
    </row>
    <row r="22" ht="15" customHeight="1" s="72">
      <c r="A22" s="140" t="inlineStr">
        <is>
          <t>월간 트래픽</t>
        </is>
      </c>
      <c r="B22" s="82" t="inlineStr">
        <is>
          <t>Similarweb, Statista, Semrush 2025</t>
        </is>
      </c>
      <c r="C22" s="82" t="inlineStr">
        <is>
          <t>Amazon 2.7B, Walmart 503M, Apple 467M, eBay 393M, Temu 200M+ — 트래픽 시트 2025 기준 업데이트 완료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20" customWidth="1" style="71" min="1" max="1"/>
    <col width="15" customWidth="1" style="71" min="2" max="2"/>
    <col width="75" customWidth="1" style="71" min="3" max="3"/>
  </cols>
  <sheetData>
    <row r="1" ht="15" customHeight="1" s="72">
      <c r="A1" s="141" t="inlineStr">
        <is>
          <t>제외된 사이트 및 사유</t>
        </is>
      </c>
    </row>
    <row r="3" ht="15" customHeight="1" s="72">
      <c r="A3" s="139" t="inlineStr">
        <is>
          <t>쇼핑몰</t>
        </is>
      </c>
      <c r="B3" s="139" t="inlineStr">
        <is>
          <t>카테고리</t>
        </is>
      </c>
      <c r="C3" s="139" t="inlineStr">
        <is>
          <t>제외 사유</t>
        </is>
      </c>
    </row>
    <row r="4" ht="15" customHeight="1" s="72">
      <c r="A4" s="81" t="inlineStr">
        <is>
          <t>Sam's Club</t>
        </is>
      </c>
      <c r="B4" s="80" t="inlineStr">
        <is>
          <t>종합</t>
        </is>
      </c>
      <c r="C4" s="82" t="inlineStr">
        <is>
          <t>Walmart 자회사 — 데이터/상품 중복, 별도 API 없음</t>
        </is>
      </c>
    </row>
    <row r="5" ht="15" customHeight="1" s="72">
      <c r="A5" s="81" t="inlineStr">
        <is>
          <t>Dell</t>
        </is>
      </c>
      <c r="B5" s="80" t="inlineStr">
        <is>
          <t>전자제품</t>
        </is>
      </c>
      <c r="C5" s="82" t="inlineStr">
        <is>
          <t>Amazon/Best Buy에서 전부 구매 가능, 공개 API 없음</t>
        </is>
      </c>
    </row>
    <row r="6" ht="15" customHeight="1" s="72">
      <c r="A6" s="81" t="inlineStr">
        <is>
          <t>HP</t>
        </is>
      </c>
      <c r="B6" s="80" t="inlineStr">
        <is>
          <t>전자제품</t>
        </is>
      </c>
      <c r="C6" s="82" t="inlineStr">
        <is>
          <t>Amazon/Best Buy에서 전부 구매 가능, 공개 API 없음</t>
        </is>
      </c>
    </row>
    <row r="7" ht="15" customHeight="1" s="72">
      <c r="A7" s="81" t="inlineStr">
        <is>
          <t>Lenovo</t>
        </is>
      </c>
      <c r="B7" s="80" t="inlineStr">
        <is>
          <t>전자제품</t>
        </is>
      </c>
      <c r="C7" s="82" t="inlineStr">
        <is>
          <t>Amazon/Best Buy에서 전부 구매 가능, 공개 API 없음</t>
        </is>
      </c>
    </row>
    <row r="8" ht="15" customHeight="1" s="72">
      <c r="A8" s="81" t="inlineStr">
        <is>
          <t>Micro Center</t>
        </is>
      </c>
      <c r="B8" s="80" t="inlineStr">
        <is>
          <t>전자제품</t>
        </is>
      </c>
      <c r="C8" s="80" t="inlineStr">
        <is>
          <t>오프라인 위주 8M 트래픽, API·어필리에이트 없음</t>
        </is>
      </c>
    </row>
    <row r="9" ht="15" customHeight="1" s="72">
      <c r="A9" s="81" t="inlineStr">
        <is>
          <t>Adorama</t>
        </is>
      </c>
      <c r="B9" s="80" t="inlineStr">
        <is>
          <t>전자제품</t>
        </is>
      </c>
      <c r="C9" s="82" t="inlineStr">
        <is>
          <t>B&amp;H와 중복 5M 트래픽, 공개 API 없음</t>
        </is>
      </c>
    </row>
    <row r="10" ht="15" customHeight="1" s="72">
      <c r="A10" s="81" t="inlineStr">
        <is>
          <t>Under Armour</t>
        </is>
      </c>
      <c r="B10" s="80" t="inlineStr">
        <is>
          <t>스포츠</t>
        </is>
      </c>
      <c r="C10" s="82" t="inlineStr">
        <is>
          <t>Amazon/Dick's에서 구매 가능, 공개 API 없음</t>
        </is>
      </c>
    </row>
    <row r="11" ht="15" customHeight="1" s="72">
      <c r="A11" s="81" t="inlineStr">
        <is>
          <t>Columbia</t>
        </is>
      </c>
      <c r="B11" s="80" t="inlineStr">
        <is>
          <t>스포츠</t>
        </is>
      </c>
      <c r="C11" s="82" t="inlineStr">
        <is>
          <t>Amazon/REI에서 구매 가능, 공개 API 없음</t>
        </is>
      </c>
    </row>
    <row r="12" ht="15" customHeight="1" s="72">
      <c r="A12" s="81" t="inlineStr">
        <is>
          <t>The North Face</t>
        </is>
      </c>
      <c r="B12" s="80" t="inlineStr">
        <is>
          <t>스포츠</t>
        </is>
      </c>
      <c r="C12" s="82" t="inlineStr">
        <is>
          <t>Amazon/REI에서 구매 가능, 공개 API 없음</t>
        </is>
      </c>
    </row>
    <row r="13" ht="15" customHeight="1" s="72">
      <c r="A13" s="81" t="inlineStr">
        <is>
          <t>Patagonia</t>
        </is>
      </c>
      <c r="B13" s="80" t="inlineStr">
        <is>
          <t>스포츠</t>
        </is>
      </c>
      <c r="C13" s="82" t="inlineStr">
        <is>
          <t>Amazon/REI에서 일부 구매 가능, API·어필리에이트 없음</t>
        </is>
      </c>
    </row>
    <row r="14" ht="15" customHeight="1" s="72">
      <c r="A14" s="81" t="inlineStr">
        <is>
          <t>Backcountry</t>
        </is>
      </c>
      <c r="B14" s="80" t="inlineStr">
        <is>
          <t>스포츠</t>
        </is>
      </c>
      <c r="C14" s="82" t="inlineStr">
        <is>
          <t>REI와 중복 5M 트래픽, 공개 API 없음</t>
        </is>
      </c>
    </row>
    <row r="15" ht="15" customHeight="1" s="72">
      <c r="A15" s="81" t="inlineStr">
        <is>
          <t>Bass Pro/Cabela's</t>
        </is>
      </c>
      <c r="B15" s="80" t="inlineStr">
        <is>
          <t>스포츠</t>
        </is>
      </c>
      <c r="C15" s="80" t="inlineStr">
        <is>
          <t>낚시/사냥 특화 — Amazon에서 커버, 공개 API 없음</t>
        </is>
      </c>
    </row>
    <row r="16" ht="15" customHeight="1" s="72">
      <c r="A16" s="81" t="inlineStr">
        <is>
          <t>Bath &amp; Body Works</t>
        </is>
      </c>
      <c r="B16" s="80" t="inlineStr">
        <is>
          <t>뷰티</t>
        </is>
      </c>
      <c r="C16" s="82" t="inlineStr">
        <is>
          <t>Amazon에서 구매 가능, 공개 API 없음</t>
        </is>
      </c>
    </row>
    <row r="17" ht="15" customHeight="1" s="72">
      <c r="A17" s="81" t="inlineStr">
        <is>
          <t>Walgreens</t>
        </is>
      </c>
      <c r="B17" s="80" t="inlineStr">
        <is>
          <t>뷰티</t>
        </is>
      </c>
      <c r="C17" s="82" t="inlineStr">
        <is>
          <t>CVS와 중복, 공개 API 없음</t>
        </is>
      </c>
    </row>
    <row r="18" ht="15" customHeight="1" s="72">
      <c r="A18" s="81" t="inlineStr">
        <is>
          <t>Dermstore</t>
        </is>
      </c>
      <c r="B18" s="80" t="inlineStr">
        <is>
          <t>뷰티</t>
        </is>
      </c>
      <c r="C18" s="82" t="inlineStr">
        <is>
          <t>Sephora/Ulta와 중복 3M 트래픽</t>
        </is>
      </c>
    </row>
    <row r="19" ht="15" customHeight="1" s="72">
      <c r="A19" s="81" t="inlineStr">
        <is>
          <t>BarkBox</t>
        </is>
      </c>
      <c r="B19" s="80" t="inlineStr">
        <is>
          <t>펫</t>
        </is>
      </c>
      <c r="C19" s="80" t="inlineStr">
        <is>
          <t>구독 전용, 공개 API 없음</t>
        </is>
      </c>
    </row>
    <row r="20" ht="15" customHeight="1" s="72">
      <c r="A20" s="81" t="inlineStr">
        <is>
          <t>Hasbro Pulse</t>
        </is>
      </c>
      <c r="B20" s="80" t="inlineStr">
        <is>
          <t>장난감</t>
        </is>
      </c>
      <c r="C20" s="82" t="inlineStr">
        <is>
          <t>Amazon/Walmart/Target에서 구매 가능, 공개 API 없음</t>
        </is>
      </c>
    </row>
    <row r="21" ht="15" customHeight="1" s="72">
      <c r="A21" s="81" t="inlineStr">
        <is>
          <t>Mattel Creations</t>
        </is>
      </c>
      <c r="B21" s="80" t="inlineStr">
        <is>
          <t>장난감</t>
        </is>
      </c>
      <c r="C21" s="82" t="inlineStr">
        <is>
          <t>Amazon/Walmart/Target에서 구매 가능, 공개 API 없음</t>
        </is>
      </c>
    </row>
    <row r="22" ht="15" customHeight="1" s="72">
      <c r="A22" s="81" t="inlineStr">
        <is>
          <t>Hobby Lobby</t>
        </is>
      </c>
      <c r="B22" s="80" t="inlineStr">
        <is>
          <t>장난감</t>
        </is>
      </c>
      <c r="C22" s="80" t="inlineStr">
        <is>
          <t>오프라인 위주, 온라인 제한, API 없음</t>
        </is>
      </c>
    </row>
    <row r="23" ht="15" customHeight="1" s="72">
      <c r="A23" s="81" t="inlineStr">
        <is>
          <t>Uline</t>
        </is>
      </c>
      <c r="B23" s="80" t="inlineStr">
        <is>
          <t>오피스</t>
        </is>
      </c>
      <c r="C23" s="82" t="inlineStr">
        <is>
          <t>B2B 전용, 소비자 대상 아님</t>
        </is>
      </c>
    </row>
    <row r="24" ht="15" customHeight="1" s="72">
      <c r="A24" s="81" t="inlineStr">
        <is>
          <t>Albertsons/Safeway</t>
        </is>
      </c>
      <c r="B24" s="80" t="inlineStr">
        <is>
          <t>그로서리</t>
        </is>
      </c>
      <c r="C24" s="80" t="inlineStr">
        <is>
          <t>지역 한정, 공개 API 없음</t>
        </is>
      </c>
    </row>
    <row r="25" ht="15" customHeight="1" s="72">
      <c r="A25" s="81" t="inlineStr">
        <is>
          <t>Publix</t>
        </is>
      </c>
      <c r="B25" s="80" t="inlineStr">
        <is>
          <t>그로서리</t>
        </is>
      </c>
      <c r="C25" s="80" t="inlineStr">
        <is>
          <t>남동부 지역 한정, 공개 API 없음</t>
        </is>
      </c>
    </row>
    <row r="26" ht="15" customHeight="1" s="72">
      <c r="A26" s="81" t="inlineStr">
        <is>
          <t>H-E-B</t>
        </is>
      </c>
      <c r="B26" s="80" t="inlineStr">
        <is>
          <t>그로서리</t>
        </is>
      </c>
      <c r="C26" s="80" t="inlineStr">
        <is>
          <t>텍사스 한정, 공개 API 없음</t>
        </is>
      </c>
    </row>
    <row r="27" ht="15" customHeight="1" s="72">
      <c r="A27" s="81" t="inlineStr">
        <is>
          <t>Thrive Market</t>
        </is>
      </c>
      <c r="B27" s="80" t="inlineStr">
        <is>
          <t>그로서리</t>
        </is>
      </c>
      <c r="C27" s="80" t="inlineStr">
        <is>
          <t>유기농 니치 5M, 공개 API 없음</t>
        </is>
      </c>
    </row>
    <row r="28" ht="15" customHeight="1" s="72">
      <c r="A28" s="81" t="inlineStr">
        <is>
          <t>FreshDirect</t>
        </is>
      </c>
      <c r="B28" s="80" t="inlineStr">
        <is>
          <t>그로서리</t>
        </is>
      </c>
      <c r="C28" s="80" t="inlineStr">
        <is>
          <t>뉴욕/동부 한정 3M, 공개 API 없음</t>
        </is>
      </c>
    </row>
    <row r="29" ht="15" customHeight="1" s="72">
      <c r="A29" s="81" t="inlineStr">
        <is>
          <t>Pottery Barn</t>
        </is>
      </c>
      <c r="B29" s="80" t="inlineStr">
        <is>
          <t>홈/가구</t>
        </is>
      </c>
      <c r="C29" s="82" t="inlineStr">
        <is>
          <t>Williams-Sonoma — Amazon 일부 커버, API 없음</t>
        </is>
      </c>
    </row>
    <row r="30" ht="15" customHeight="1" s="72">
      <c r="A30" s="81" t="inlineStr">
        <is>
          <t>Crate &amp; Barrel</t>
        </is>
      </c>
      <c r="B30" s="80" t="inlineStr">
        <is>
          <t>홈/가구</t>
        </is>
      </c>
      <c r="C30" s="82" t="inlineStr">
        <is>
          <t>10M 트래픽, 공개 API 없음</t>
        </is>
      </c>
    </row>
    <row r="31" ht="15" customHeight="1" s="72">
      <c r="A31" s="81" t="inlineStr">
        <is>
          <t>West Elm</t>
        </is>
      </c>
      <c r="B31" s="80" t="inlineStr">
        <is>
          <t>홈/가구</t>
        </is>
      </c>
      <c r="C31" s="82" t="inlineStr">
        <is>
          <t>Williams-Sonoma — 8M 트래픽, API 없음</t>
        </is>
      </c>
    </row>
    <row r="32" ht="15" customHeight="1" s="72">
      <c r="A32" s="81" t="inlineStr">
        <is>
          <t>Ashley Furniture</t>
        </is>
      </c>
      <c r="B32" s="80" t="inlineStr">
        <is>
          <t>홈/가구</t>
        </is>
      </c>
      <c r="C32" s="82" t="inlineStr">
        <is>
          <t>Amazon/Wayfair에서 구매 가능, API 없음</t>
        </is>
      </c>
    </row>
    <row r="33" ht="15" customHeight="1" s="72">
      <c r="A33" s="81" t="inlineStr">
        <is>
          <t>RH</t>
        </is>
      </c>
      <c r="B33" s="80" t="inlineStr">
        <is>
          <t>홈/가구</t>
        </is>
      </c>
      <c r="C33" s="80" t="inlineStr">
        <is>
          <t>럭셔리 — API·어필리에이트 없음</t>
        </is>
      </c>
    </row>
    <row r="34" ht="15" customHeight="1" s="72">
      <c r="A34" s="81" t="inlineStr">
        <is>
          <t>Banggood</t>
        </is>
      </c>
      <c r="B34" s="80" t="inlineStr">
        <is>
          <t>글로벌</t>
        </is>
      </c>
      <c r="C34" s="82" t="inlineStr">
        <is>
          <t>AliExpress/Amazon에서 동일 상품 구매 가능, 독자 US 매출 미미 (&lt;$50M)</t>
        </is>
      </c>
    </row>
    <row r="35" ht="15" customHeight="1" s="72">
      <c r="A35" s="81" t="inlineStr">
        <is>
          <t>DHgate</t>
        </is>
      </c>
      <c r="B35" s="80" t="inlineStr">
        <is>
          <t>글로벌</t>
        </is>
      </c>
      <c r="C35" s="80" t="inlineStr">
        <is>
          <t>중국 도매 마켓 — AliExpress와 상품 중복, US 독자 판매 미미</t>
        </is>
      </c>
    </row>
    <row r="36" ht="15" customHeight="1" s="72">
      <c r="A36" s="81" t="inlineStr">
        <is>
          <t>Wish</t>
        </is>
      </c>
      <c r="B36" s="80" t="inlineStr">
        <is>
          <t>글로벌</t>
        </is>
      </c>
      <c r="C36" s="80" t="inlineStr">
        <is>
          <t>급격한 하락세 (MAU -80%), Amazon/Temu에서 대체 가능</t>
        </is>
      </c>
    </row>
    <row r="37" ht="15" customHeight="1" s="72">
      <c r="A37" s="81" t="inlineStr">
        <is>
          <t>Mercari</t>
        </is>
      </c>
      <c r="B37" s="80" t="inlineStr">
        <is>
          <t>글로벌</t>
        </is>
      </c>
      <c r="C37" s="82" t="inlineStr">
        <is>
          <t>eBay/Facebook Marketplace와 중복, US 중고거래 점유율 미미</t>
        </is>
      </c>
    </row>
    <row r="38" ht="15" customHeight="1" s="72">
      <c r="A38" s="81" t="inlineStr">
        <is>
          <t>Farfetch</t>
        </is>
      </c>
      <c r="B38" s="80" t="inlineStr">
        <is>
          <t>글로벌</t>
        </is>
      </c>
      <c r="C38" s="82" t="inlineStr">
        <is>
          <t>2024.1 Coupang에 $500M 인수 — 독립 운영 종료, 별도 파트너십 불필요</t>
        </is>
      </c>
    </row>
    <row r="39">
      <c r="A39" s="71" t="inlineStr">
        <is>
          <t>Apple</t>
        </is>
      </c>
      <c r="B39" s="71" t="inlineStr">
        <is>
          <t>종합/전자</t>
        </is>
      </c>
      <c r="C39" s="71" t="inlineStr">
        <is>
          <t>직접이메일 없음 — Partnerize 포탈 신청만 가능, DTC $41.7B이나 파트너십 컨택 수단 부재</t>
        </is>
      </c>
    </row>
    <row r="40">
      <c r="A40" s="71" t="inlineStr">
        <is>
          <t>Samsung</t>
        </is>
      </c>
      <c r="B40" s="71" t="inlineStr">
        <is>
          <t>전자제품</t>
        </is>
      </c>
      <c r="C40" s="71" t="inlineStr">
        <is>
          <t>직접이메일 없음 — 전화만 (866) 726-4249, 이메일 정책에 따라 제외</t>
        </is>
      </c>
    </row>
    <row r="41">
      <c r="A41" s="71" t="inlineStr">
        <is>
          <t>LEGO</t>
        </is>
      </c>
      <c r="B41" s="71" t="inlineStr">
        <is>
          <t>장난감/글로벌</t>
        </is>
      </c>
      <c r="C41" s="71" t="inlineStr">
        <is>
          <t>licensing@lego.com = 라이센싱팀으로 파트너십 무관, 별도 파트너십 이메일 없음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2026-03-01T07:59:09Z</dcterms:created>
  <dcterms:modified xmlns:dcterms="http://purl.org/dc/terms/" xmlns:xsi="http://www.w3.org/2001/XMLSchema-instance" xsi:type="dcterms:W3CDTF">2026-03-01T14:14:08Z</dcterms:modified>
  <cp:revision>6</cp:revision>
</cp:coreProperties>
</file>