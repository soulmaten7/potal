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Costs" sheetId="1" state="visible" r:id="rId3"/>
    <sheet name="Revenue" sheetId="2" state="visible" r:id="rId4"/>
    <sheet name="Division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<sst xmlns="http://schemas.openxmlformats.org/spreadsheetml/2006/main" count="162" uniqueCount="105">
  <si>
    <t xml:space="preserve">POTAL — D14 Finance: Monthly Cost Tracker</t>
  </si>
  <si>
    <t xml:space="preserve">Last Updated: 2026-03-11 15:01 KST</t>
  </si>
  <si>
    <t xml:space="preserve">Category</t>
  </si>
  <si>
    <t xml:space="preserve">Service</t>
  </si>
  <si>
    <t xml:space="preserve">Plan</t>
  </si>
  <si>
    <t xml:space="preserve">Monthly ($)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</si>
  <si>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</si>
  <si>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</si>
  <si>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</si>
  <si>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</si>
  <si>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</si>
  <si>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</si>
  <si>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</si>
  <si>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</si>
  <si>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</si>
  <si>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</si>
  <si>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</si>
  <si>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</si>
  <si>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Infrastructure</t>
  </si>
  <si>
    <t xml:space="preserve">Vercel</t>
  </si>
  <si>
    <t xml:space="preserve">Pro</t>
  </si>
  <si>
    <t xml:space="preserve">Supabase</t>
  </si>
  <si>
    <t xml:space="preserve">Domain (potal.app)</t>
  </si>
  <si>
    <t xml:space="preserve">Annual</t>
  </si>
  <si>
    <t xml:space="preserve">Payments</t>
  </si>
  <si>
    <t xml:space="preserve">Paddle</t>
  </si>
  <si>
    <t xml:space="preserve">MoR (5%+$0.50/tx)</t>
  </si>
  <si>
    <t xml:space="preserve">Support</t>
  </si>
  <si>
    <t xml:space="preserve">Crisp</t>
  </si>
  <si>
    <t xml:space="preserve">Free</t>
  </si>
  <si>
    <t xml:space="preserve">Automation</t>
  </si>
  <si>
    <t xml:space="preserve">Make.com</t>
  </si>
  <si>
    <t xml:space="preserve">Marketing</t>
  </si>
  <si>
    <t xml:space="preserve">LinkedIn</t>
  </si>
  <si>
    <t xml:space="preserve">Legal</t>
  </si>
  <si>
    <t xml:space="preserve">Google Calendar</t>
  </si>
  <si>
    <t xml:space="preserve">TOTAL</t>
  </si>
  <si>
    <t xml:space="preserve">Annual Total</t>
  </si>
  <si>
    <t xml:space="preserve">POTAL — Revenue Tracker</t>
  </si>
  <si>
    <t xml:space="preserve">Month</t>
  </si>
  <si>
    <t xml:space="preserve">Free Users</t>
  </si>
  <si>
    <t xml:space="preserve">Basic ($20)</t>
  </si>
  <si>
    <t xml:space="preserve">Pro ($80)</t>
  </si>
  <si>
    <t xml:space="preserve">Enterprise ($300)</t>
  </si>
  <si>
    <t xml:space="preserve">MRR ($)</t>
  </si>
  <si>
    <t xml:space="preserve">Overage ($)</t>
  </si>
  <si>
    <t xml:space="preserve">Total Revenue ($)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</si>
  <si>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</si>
  <si>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</si>
  <si>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</si>
  <si>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</si>
  <si>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</si>
  <si>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</si>
  <si>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</si>
  <si>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</si>
  <si>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</si>
  <si>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</si>
  <si>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r>
      <rPr>
        <b val="true"/>
        <sz val="14"/>
        <color rgb="FF2B5797"/>
        <rFont val="Cambria"/>
        <family val="0"/>
        <charset val="1"/>
      </rPr>
      <t xml:space="preserve">POTAL — Division Update Log (</t>
    </r>
    <r>
      <rPr>
        <b val="true"/>
        <sz val="14"/>
        <color rgb="FF2B5797"/>
        <rFont val="DejaVu Sans"/>
        <family val="2"/>
      </rPr>
      <t xml:space="preserve">날짜</t>
    </r>
    <r>
      <rPr>
        <b val="true"/>
        <sz val="14"/>
        <color rgb="FF2B5797"/>
        <rFont val="Cambria"/>
        <family val="0"/>
        <charset val="1"/>
      </rPr>
      <t xml:space="preserve">/</t>
    </r>
    <r>
      <rPr>
        <b val="true"/>
        <sz val="14"/>
        <color rgb="FF2B5797"/>
        <rFont val="DejaVu Sans"/>
        <family val="2"/>
      </rPr>
      <t xml:space="preserve">시간 기록</t>
    </r>
    <r>
      <rPr>
        <b val="true"/>
        <sz val="14"/>
        <color rgb="FF2B5797"/>
        <rFont val="Cambria"/>
        <family val="0"/>
        <charset val="1"/>
      </rPr>
      <t xml:space="preserve">)</t>
    </r>
  </si>
  <si>
    <t xml:space="preserve">Date/Time</t>
  </si>
  <si>
    <t xml:space="preserve">Division</t>
  </si>
  <si>
    <t xml:space="preserve">Action</t>
  </si>
  <si>
    <t xml:space="preserve">Status</t>
  </si>
  <si>
    <t xml:space="preserve">Details</t>
  </si>
  <si>
    <t xml:space="preserve">Updated By</t>
  </si>
  <si>
    <t xml:space="preserve">2026-03-11 15:01</t>
  </si>
  <si>
    <t xml:space="preserve">D1 Tariff</t>
  </si>
  <si>
    <r>
      <rPr>
        <sz val="11"/>
        <color theme="1"/>
        <rFont val="Calibri"/>
        <family val="2"/>
        <charset val="1"/>
      </rPr>
      <t xml:space="preserve">Layer 1 </t>
    </r>
    <r>
      <rPr>
        <sz val="11"/>
        <color theme="1"/>
        <rFont val="DejaVu Sans"/>
        <family val="2"/>
      </rPr>
      <t xml:space="preserve">자동화</t>
    </r>
  </si>
  <si>
    <t xml:space="preserve">✅</t>
  </si>
  <si>
    <r>
      <rPr>
        <sz val="11"/>
        <color theme="1"/>
        <rFont val="Calibri"/>
        <family val="2"/>
        <charset val="1"/>
      </rPr>
      <t xml:space="preserve">trade-remedy-sync Cron </t>
    </r>
    <r>
      <rPr>
        <sz val="11"/>
        <color theme="1"/>
        <rFont val="DejaVu Sans"/>
        <family val="2"/>
      </rPr>
      <t xml:space="preserve">매주 월 </t>
    </r>
    <r>
      <rPr>
        <sz val="11"/>
        <color theme="1"/>
        <rFont val="Calibri"/>
        <family val="2"/>
        <charset val="1"/>
      </rPr>
      <t xml:space="preserve">06:30</t>
    </r>
  </si>
  <si>
    <t xml:space="preserve">Claude Code</t>
  </si>
  <si>
    <t xml:space="preserve">D2 Tax</t>
  </si>
  <si>
    <t xml:space="preserve">앱 내장</t>
  </si>
  <si>
    <r>
      <rPr>
        <sz val="11"/>
        <color theme="1"/>
        <rFont val="Calibri"/>
        <family val="2"/>
        <charset val="1"/>
      </rPr>
      <t xml:space="preserve">GlobalCostEngine </t>
    </r>
    <r>
      <rPr>
        <sz val="11"/>
        <color theme="1"/>
        <rFont val="DejaVu Sans"/>
        <family val="2"/>
      </rPr>
      <t xml:space="preserve">자동 실행</t>
    </r>
  </si>
  <si>
    <t xml:space="preserve">Built-in</t>
  </si>
  <si>
    <t xml:space="preserve">D3 HS</t>
  </si>
  <si>
    <r>
      <rPr>
        <sz val="11"/>
        <color theme="1"/>
        <rFont val="Calibri"/>
        <family val="2"/>
        <charset val="1"/>
      </rPr>
      <t xml:space="preserve">ai-classifier </t>
    </r>
    <r>
      <rPr>
        <sz val="11"/>
        <color theme="1"/>
        <rFont val="DejaVu Sans"/>
        <family val="2"/>
      </rPr>
      <t xml:space="preserve">자동 실행</t>
    </r>
  </si>
  <si>
    <t xml:space="preserve">D4 Pipeline</t>
  </si>
  <si>
    <r>
      <rPr>
        <sz val="11"/>
        <color theme="1"/>
        <rFont val="Calibri"/>
        <family val="2"/>
        <charset val="1"/>
      </rPr>
      <t xml:space="preserve">gov-api-health Cron </t>
    </r>
    <r>
      <rPr>
        <sz val="11"/>
        <color theme="1"/>
        <rFont val="DejaVu Sans"/>
        <family val="2"/>
      </rPr>
      <t xml:space="preserve">매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시간</t>
    </r>
  </si>
  <si>
    <t xml:space="preserve">D5 Web</t>
  </si>
  <si>
    <r>
      <rPr>
        <sz val="11"/>
        <color theme="1"/>
        <rFont val="Calibri"/>
        <family val="2"/>
        <charset val="1"/>
      </rPr>
      <t xml:space="preserve">uptime-check Cron </t>
    </r>
    <r>
      <rPr>
        <sz val="11"/>
        <color theme="1"/>
        <rFont val="DejaVu Sans"/>
        <family val="2"/>
      </rPr>
      <t xml:space="preserve">매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시간</t>
    </r>
  </si>
  <si>
    <t xml:space="preserve">D6 Plugins</t>
  </si>
  <si>
    <r>
      <rPr>
        <sz val="11"/>
        <color theme="1"/>
        <rFont val="Calibri"/>
        <family val="2"/>
        <charset val="1"/>
      </rPr>
      <t xml:space="preserve">plugin-health Cron </t>
    </r>
    <r>
      <rPr>
        <sz val="11"/>
        <color theme="1"/>
        <rFont val="DejaVu Sans"/>
        <family val="2"/>
      </rPr>
      <t xml:space="preserve">매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시간</t>
    </r>
  </si>
  <si>
    <t xml:space="preserve">D7 API</t>
  </si>
  <si>
    <t xml:space="preserve">plan-checker, rate-limiter</t>
  </si>
  <si>
    <t xml:space="preserve">D8 QA</t>
  </si>
  <si>
    <r>
      <rPr>
        <sz val="11"/>
        <color theme="1"/>
        <rFont val="Calibri"/>
        <family val="2"/>
        <charset val="1"/>
      </rPr>
      <t xml:space="preserve">spot-check Cron </t>
    </r>
    <r>
      <rPr>
        <sz val="11"/>
        <color theme="1"/>
        <rFont val="DejaVu Sans"/>
        <family val="2"/>
      </rPr>
      <t xml:space="preserve">매일 </t>
    </r>
    <r>
      <rPr>
        <sz val="11"/>
        <color theme="1"/>
        <rFont val="Calibri"/>
        <family val="2"/>
        <charset val="1"/>
      </rPr>
      <t xml:space="preserve">04:00</t>
    </r>
  </si>
  <si>
    <t xml:space="preserve">D9 CS</t>
  </si>
  <si>
    <r>
      <rPr>
        <sz val="11"/>
        <color theme="1"/>
        <rFont val="Calibri"/>
        <family val="2"/>
        <charset val="1"/>
      </rPr>
      <t xml:space="preserve">FAQ 13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+ Crisp </t>
    </r>
    <r>
      <rPr>
        <sz val="11"/>
        <color theme="1"/>
        <rFont val="DejaVu Sans"/>
        <family val="2"/>
      </rPr>
      <t xml:space="preserve">채팅 위젯</t>
    </r>
  </si>
  <si>
    <t xml:space="preserve">D10 Revenue</t>
  </si>
  <si>
    <t xml:space="preserve">Paddle Webhook + Overage Cron</t>
  </si>
  <si>
    <t xml:space="preserve">D11 Infra</t>
  </si>
  <si>
    <r>
      <rPr>
        <sz val="11"/>
        <color theme="1"/>
        <rFont val="Calibri"/>
        <family val="2"/>
        <charset val="1"/>
      </rPr>
      <t xml:space="preserve">health-check Cron </t>
    </r>
    <r>
      <rPr>
        <sz val="11"/>
        <color theme="1"/>
        <rFont val="DejaVu Sans"/>
        <family val="2"/>
      </rPr>
      <t xml:space="preserve">매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시간</t>
    </r>
  </si>
  <si>
    <t xml:space="preserve">D12 Marketing</t>
  </si>
  <si>
    <r>
      <rPr>
        <sz val="11"/>
        <color theme="1"/>
        <rFont val="Calibri"/>
        <family val="2"/>
        <charset val="1"/>
      </rPr>
      <t xml:space="preserve">Make.com </t>
    </r>
    <r>
      <rPr>
        <sz val="11"/>
        <color theme="1"/>
        <rFont val="DejaVu Sans"/>
        <family val="2"/>
      </rPr>
      <t xml:space="preserve">설정</t>
    </r>
  </si>
  <si>
    <r>
      <rPr>
        <sz val="11"/>
        <color theme="1"/>
        <rFont val="Calibri"/>
        <family val="2"/>
        <charset val="1"/>
      </rPr>
      <t xml:space="preserve">Welcome Email + LinkedIn </t>
    </r>
    <r>
      <rPr>
        <sz val="11"/>
        <color theme="1"/>
        <rFont val="DejaVu Sans"/>
        <family val="2"/>
      </rPr>
      <t xml:space="preserve">소셜공유</t>
    </r>
  </si>
  <si>
    <r>
      <rPr>
        <sz val="11"/>
        <color theme="1"/>
        <rFont val="DejaVu Sans"/>
        <family val="2"/>
      </rPr>
      <t xml:space="preserve">은태님 </t>
    </r>
    <r>
      <rPr>
        <sz val="11"/>
        <color theme="1"/>
        <rFont val="Calibri"/>
        <family val="2"/>
        <charset val="1"/>
      </rPr>
      <t xml:space="preserve">(Cowork)</t>
    </r>
  </si>
  <si>
    <t xml:space="preserve">D13 Legal</t>
  </si>
  <si>
    <r>
      <rPr>
        <sz val="11"/>
        <color theme="1"/>
        <rFont val="Calibri"/>
        <family val="2"/>
        <charset val="1"/>
      </rPr>
      <t xml:space="preserve">Calendar </t>
    </r>
    <r>
      <rPr>
        <sz val="11"/>
        <color theme="1"/>
        <rFont val="DejaVu Sans"/>
        <family val="2"/>
      </rPr>
      <t xml:space="preserve">설정</t>
    </r>
  </si>
  <si>
    <r>
      <rPr>
        <sz val="11"/>
        <color theme="1"/>
        <rFont val="Calibri"/>
        <family val="2"/>
        <charset val="1"/>
      </rPr>
      <t xml:space="preserve">Google Calendar </t>
    </r>
    <r>
      <rPr>
        <sz val="11"/>
        <color theme="1"/>
        <rFont val="DejaVu Sans"/>
        <family val="2"/>
      </rPr>
      <t xml:space="preserve">법률 리뷰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개</t>
    </r>
  </si>
  <si>
    <t xml:space="preserve">D14 Finance</t>
  </si>
  <si>
    <t xml:space="preserve">스프레드시트</t>
  </si>
  <si>
    <r>
      <rPr>
        <sz val="11"/>
        <color theme="1"/>
        <rFont val="DejaVu Sans"/>
        <family val="2"/>
      </rPr>
      <t xml:space="preserve">비용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매출 추적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DejaVu Sans"/>
        <family val="2"/>
      </rPr>
      <t xml:space="preserve">생성</t>
    </r>
  </si>
  <si>
    <t xml:space="preserve">Cowork</t>
  </si>
  <si>
    <t xml:space="preserve">D15 Intel</t>
  </si>
  <si>
    <r>
      <rPr>
        <sz val="11"/>
        <color theme="1"/>
        <rFont val="Calibri"/>
        <family val="2"/>
        <charset val="1"/>
      </rPr>
      <t xml:space="preserve">competitor-scan Cron </t>
    </r>
    <r>
      <rPr>
        <sz val="11"/>
        <color theme="1"/>
        <rFont val="DejaVu Sans"/>
        <family val="2"/>
      </rPr>
      <t xml:space="preserve">매주 월 </t>
    </r>
    <r>
      <rPr>
        <sz val="11"/>
        <color theme="1"/>
        <rFont val="Calibri"/>
        <family val="2"/>
        <charset val="1"/>
      </rPr>
      <t xml:space="preserve">08:00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</si>
</sst>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7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4"/>
      <color rgb="FF2B5797"/>
      <name val="DejaVu Sans"/>
      <family val="2"/>
    </font>
    <font>
      <sz val="11"/>
      <color theme="1"/>
      <name val="DejaVu Sans"/>
      <family val="2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5797"/>
        <bgColor rgb="FF0066CC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16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5" t="n">
        <v>20</v>
      </c>
      <c r="E5" s="6" t="n">
        <f aca="false">D5</f>
        <v>20</v>
      </c>
      <c r="F5" s="6" t="n">
        <f aca="false">D5</f>
        <v>20</v>
      </c>
      <c r="G5" s="6" t="n">
        <f aca="false">D5</f>
        <v>20</v>
      </c>
      <c r="H5" s="6" t="n">
        <f aca="false">D5</f>
        <v>20</v>
      </c>
      <c r="I5" s="6" t="n">
        <f aca="false">D5</f>
        <v>20</v>
      </c>
      <c r="J5" s="6" t="n">
        <f aca="false">D5</f>
        <v>20</v>
      </c>
      <c r="K5" s="6" t="n">
        <f aca="false">D5</f>
        <v>20</v>
      </c>
      <c r="L5" s="6" t="n">
        <f aca="false">D5</f>
        <v>20</v>
      </c>
      <c r="M5" s="6" t="n">
        <f aca="false">D5</f>
        <v>20</v>
      </c>
      <c r="N5" s="6" t="n">
        <f aca="false">D5</f>
        <v>20</v>
      </c>
      <c r="O5" s="6" t="n">
        <f aca="false">D5</f>
        <v>20</v>
      </c>
      <c r="P5" s="6" t="n">
        <f aca="false">D5</f>
        <v>20</v>
      </c>
    </row>
    <row r="6" customFormat="false" ht="15" hidden="false" customHeight="false" outlineLevel="0" collapsed="false">
      <c r="A6" s="4" t="s">
        <v>18</v>
      </c>
      <c r="B6" s="4" t="s">
        <v>21</v>
      </c>
      <c r="C6" s="4" t="s">
        <v>20</v>
      </c>
      <c r="D6" s="5" t="n">
        <v>25</v>
      </c>
      <c r="E6" s="6" t="n">
        <f aca="false">D6</f>
        <v>25</v>
      </c>
      <c r="F6" s="6" t="n">
        <f aca="false">D6</f>
        <v>25</v>
      </c>
      <c r="G6" s="6" t="n">
        <f aca="false">D6</f>
        <v>25</v>
      </c>
      <c r="H6" s="6" t="n">
        <f aca="false">D6</f>
        <v>25</v>
      </c>
      <c r="I6" s="6" t="n">
        <f aca="false">D6</f>
        <v>25</v>
      </c>
      <c r="J6" s="6" t="n">
        <f aca="false">D6</f>
        <v>25</v>
      </c>
      <c r="K6" s="6" t="n">
        <f aca="false">D6</f>
        <v>25</v>
      </c>
      <c r="L6" s="6" t="n">
        <f aca="false">D6</f>
        <v>25</v>
      </c>
      <c r="M6" s="6" t="n">
        <f aca="false">D6</f>
        <v>25</v>
      </c>
      <c r="N6" s="6" t="n">
        <f aca="false">D6</f>
        <v>25</v>
      </c>
      <c r="O6" s="6" t="n">
        <f aca="false">D6</f>
        <v>25</v>
      </c>
      <c r="P6" s="6" t="n">
        <f aca="false">D6</f>
        <v>25</v>
      </c>
    </row>
    <row r="7" customFormat="false" ht="15" hidden="false" customHeight="false" outlineLevel="0" collapsed="false">
      <c r="A7" s="4" t="s">
        <v>18</v>
      </c>
      <c r="B7" s="4" t="s">
        <v>22</v>
      </c>
      <c r="C7" s="4" t="s">
        <v>23</v>
      </c>
      <c r="D7" s="5" t="n">
        <v>1</v>
      </c>
      <c r="E7" s="6" t="n">
        <f aca="false">D7</f>
        <v>1</v>
      </c>
      <c r="F7" s="6" t="n">
        <f aca="false">D7</f>
        <v>1</v>
      </c>
      <c r="G7" s="6" t="n">
        <f aca="false">D7</f>
        <v>1</v>
      </c>
      <c r="H7" s="6" t="n">
        <f aca="false">D7</f>
        <v>1</v>
      </c>
      <c r="I7" s="6" t="n">
        <f aca="false">D7</f>
        <v>1</v>
      </c>
      <c r="J7" s="6" t="n">
        <f aca="false">D7</f>
        <v>1</v>
      </c>
      <c r="K7" s="6" t="n">
        <f aca="false">D7</f>
        <v>1</v>
      </c>
      <c r="L7" s="6" t="n">
        <f aca="false">D7</f>
        <v>1</v>
      </c>
      <c r="M7" s="6" t="n">
        <f aca="false">D7</f>
        <v>1</v>
      </c>
      <c r="N7" s="6" t="n">
        <f aca="false">D7</f>
        <v>1</v>
      </c>
      <c r="O7" s="6" t="n">
        <f aca="false">D7</f>
        <v>1</v>
      </c>
      <c r="P7" s="6" t="n">
        <f aca="false">D7</f>
        <v>1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26</v>
      </c>
      <c r="D8" s="5" t="n">
        <v>0</v>
      </c>
      <c r="E8" s="6" t="n">
        <f aca="false">D8</f>
        <v>0</v>
      </c>
      <c r="F8" s="6" t="n">
        <f aca="false">D8</f>
        <v>0</v>
      </c>
      <c r="G8" s="6" t="n">
        <f aca="false">D8</f>
        <v>0</v>
      </c>
      <c r="H8" s="6" t="n">
        <f aca="false">D8</f>
        <v>0</v>
      </c>
      <c r="I8" s="6" t="n">
        <f aca="false">D8</f>
        <v>0</v>
      </c>
      <c r="J8" s="6" t="n">
        <f aca="false">D8</f>
        <v>0</v>
      </c>
      <c r="K8" s="6" t="n">
        <f aca="false">D8</f>
        <v>0</v>
      </c>
      <c r="L8" s="6" t="n">
        <f aca="false">D8</f>
        <v>0</v>
      </c>
      <c r="M8" s="6" t="n">
        <f aca="false">D8</f>
        <v>0</v>
      </c>
      <c r="N8" s="6" t="n">
        <f aca="false">D8</f>
        <v>0</v>
      </c>
      <c r="O8" s="6" t="n">
        <f aca="false">D8</f>
        <v>0</v>
      </c>
      <c r="P8" s="6" t="n">
        <f aca="false">D8</f>
        <v>0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29</v>
      </c>
      <c r="D9" s="5" t="n">
        <v>0</v>
      </c>
      <c r="E9" s="6" t="n">
        <f aca="false">D9</f>
        <v>0</v>
      </c>
      <c r="F9" s="6" t="n">
        <f aca="false">D9</f>
        <v>0</v>
      </c>
      <c r="G9" s="6" t="n">
        <f aca="false">D9</f>
        <v>0</v>
      </c>
      <c r="H9" s="6" t="n">
        <f aca="false">D9</f>
        <v>0</v>
      </c>
      <c r="I9" s="6" t="n">
        <f aca="false">D9</f>
        <v>0</v>
      </c>
      <c r="J9" s="6" t="n">
        <f aca="false">D9</f>
        <v>0</v>
      </c>
      <c r="K9" s="6" t="n">
        <f aca="false">D9</f>
        <v>0</v>
      </c>
      <c r="L9" s="6" t="n">
        <f aca="false">D9</f>
        <v>0</v>
      </c>
      <c r="M9" s="6" t="n">
        <f aca="false">D9</f>
        <v>0</v>
      </c>
      <c r="N9" s="6" t="n">
        <f aca="false">D9</f>
        <v>0</v>
      </c>
      <c r="O9" s="6" t="n">
        <f aca="false">D9</f>
        <v>0</v>
      </c>
      <c r="P9" s="6" t="n">
        <f aca="false">D9</f>
        <v>0</v>
      </c>
    </row>
    <row r="10" customFormat="false" ht="15" hidden="false" customHeight="false" outlineLevel="0" collapsed="false">
      <c r="A10" s="4" t="s">
        <v>30</v>
      </c>
      <c r="B10" s="4" t="s">
        <v>31</v>
      </c>
      <c r="C10" s="4" t="s">
        <v>29</v>
      </c>
      <c r="D10" s="5" t="n">
        <v>0</v>
      </c>
      <c r="E10" s="6" t="n">
        <f aca="false">D10</f>
        <v>0</v>
      </c>
      <c r="F10" s="6" t="n">
        <f aca="false">D10</f>
        <v>0</v>
      </c>
      <c r="G10" s="6" t="n">
        <f aca="false">D10</f>
        <v>0</v>
      </c>
      <c r="H10" s="6" t="n">
        <f aca="false">D10</f>
        <v>0</v>
      </c>
      <c r="I10" s="6" t="n">
        <f aca="false">D10</f>
        <v>0</v>
      </c>
      <c r="J10" s="6" t="n">
        <f aca="false">D10</f>
        <v>0</v>
      </c>
      <c r="K10" s="6" t="n">
        <f aca="false">D10</f>
        <v>0</v>
      </c>
      <c r="L10" s="6" t="n">
        <f aca="false">D10</f>
        <v>0</v>
      </c>
      <c r="M10" s="6" t="n">
        <f aca="false">D10</f>
        <v>0</v>
      </c>
      <c r="N10" s="6" t="n">
        <f aca="false">D10</f>
        <v>0</v>
      </c>
      <c r="O10" s="6" t="n">
        <f aca="false">D10</f>
        <v>0</v>
      </c>
      <c r="P10" s="6" t="n">
        <f aca="false">D10</f>
        <v>0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29</v>
      </c>
      <c r="D11" s="5" t="n">
        <v>0</v>
      </c>
      <c r="E11" s="6" t="n">
        <f aca="false">D11</f>
        <v>0</v>
      </c>
      <c r="F11" s="6" t="n">
        <f aca="false">D11</f>
        <v>0</v>
      </c>
      <c r="G11" s="6" t="n">
        <f aca="false">D11</f>
        <v>0</v>
      </c>
      <c r="H11" s="6" t="n">
        <f aca="false">D11</f>
        <v>0</v>
      </c>
      <c r="I11" s="6" t="n">
        <f aca="false">D11</f>
        <v>0</v>
      </c>
      <c r="J11" s="6" t="n">
        <f aca="false">D11</f>
        <v>0</v>
      </c>
      <c r="K11" s="6" t="n">
        <f aca="false">D11</f>
        <v>0</v>
      </c>
      <c r="L11" s="6" t="n">
        <f aca="false">D11</f>
        <v>0</v>
      </c>
      <c r="M11" s="6" t="n">
        <f aca="false">D11</f>
        <v>0</v>
      </c>
      <c r="N11" s="6" t="n">
        <f aca="false">D11</f>
        <v>0</v>
      </c>
      <c r="O11" s="6" t="n">
        <f aca="false">D11</f>
        <v>0</v>
      </c>
      <c r="P11" s="6" t="n">
        <f aca="false">D11</f>
        <v>0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4" t="s">
        <v>29</v>
      </c>
      <c r="D12" s="5" t="n">
        <v>0</v>
      </c>
      <c r="E12" s="6" t="n">
        <f aca="false">D12</f>
        <v>0</v>
      </c>
      <c r="F12" s="6" t="n">
        <f aca="false">D12</f>
        <v>0</v>
      </c>
      <c r="G12" s="6" t="n">
        <f aca="false">D12</f>
        <v>0</v>
      </c>
      <c r="H12" s="6" t="n">
        <f aca="false">D12</f>
        <v>0</v>
      </c>
      <c r="I12" s="6" t="n">
        <f aca="false">D12</f>
        <v>0</v>
      </c>
      <c r="J12" s="6" t="n">
        <f aca="false">D12</f>
        <v>0</v>
      </c>
      <c r="K12" s="6" t="n">
        <f aca="false">D12</f>
        <v>0</v>
      </c>
      <c r="L12" s="6" t="n">
        <f aca="false">D12</f>
        <v>0</v>
      </c>
      <c r="M12" s="6" t="n">
        <f aca="false">D12</f>
        <v>0</v>
      </c>
      <c r="N12" s="6" t="n">
        <f aca="false">D12</f>
        <v>0</v>
      </c>
      <c r="O12" s="6" t="n">
        <f aca="false">D12</f>
        <v>0</v>
      </c>
      <c r="P12" s="6" t="n">
        <f aca="false">D12</f>
        <v>0</v>
      </c>
    </row>
    <row r="13" customFormat="false" ht="15" hidden="false" customHeight="false" outlineLevel="0" collapsed="false">
      <c r="A13" s="7" t="s">
        <v>36</v>
      </c>
      <c r="D13" s="8" t="n">
        <f aca="false">SUM(D5:D12)</f>
        <v>46</v>
      </c>
      <c r="E13" s="8" t="n">
        <f aca="false">SUM(E5:E12)</f>
        <v>46</v>
      </c>
      <c r="F13" s="8" t="n">
        <f aca="false">SUM(F5:F12)</f>
        <v>46</v>
      </c>
      <c r="G13" s="8" t="n">
        <f aca="false">SUM(G5:G12)</f>
        <v>46</v>
      </c>
      <c r="H13" s="8" t="n">
        <f aca="false">SUM(H5:H12)</f>
        <v>46</v>
      </c>
      <c r="I13" s="8" t="n">
        <f aca="false">SUM(I5:I12)</f>
        <v>46</v>
      </c>
      <c r="J13" s="8" t="n">
        <f aca="false">SUM(J5:J12)</f>
        <v>46</v>
      </c>
      <c r="K13" s="8" t="n">
        <f aca="false">SUM(K5:K12)</f>
        <v>46</v>
      </c>
      <c r="L13" s="8" t="n">
        <f aca="false">SUM(L5:L12)</f>
        <v>46</v>
      </c>
      <c r="M13" s="8" t="n">
        <f aca="false">SUM(M5:M12)</f>
        <v>46</v>
      </c>
      <c r="N13" s="8" t="n">
        <f aca="false">SUM(N5:N12)</f>
        <v>46</v>
      </c>
      <c r="O13" s="8" t="n">
        <f aca="false">SUM(O5:O12)</f>
        <v>46</v>
      </c>
      <c r="P13" s="8" t="n">
        <f aca="false">SUM(P5:P12)</f>
        <v>46</v>
      </c>
    </row>
    <row r="14" customFormat="false" ht="15" hidden="false" customHeight="false" outlineLevel="0" collapsed="false">
      <c r="A14" s="7" t="s">
        <v>37</v>
      </c>
      <c r="D14" s="9" t="n">
        <f aca="false">D13*12</f>
        <v>552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15" hidden="false" customHeight="false" outlineLevel="0" collapsed="false">
      <c r="A5" s="4" t="s">
        <v>47</v>
      </c>
      <c r="B5" s="10" t="n">
        <v>0</v>
      </c>
      <c r="C5" s="10" t="n">
        <v>0</v>
      </c>
      <c r="D5" s="10" t="n">
        <v>0</v>
      </c>
      <c r="E5" s="10" t="n">
        <v>0</v>
      </c>
      <c r="F5" s="6" t="n">
        <f aca="false">(C5*20)+(D5*80)+(E5*300)</f>
        <v>0</v>
      </c>
      <c r="G5" s="5" t="n">
        <v>0</v>
      </c>
      <c r="H5" s="11" t="n">
        <f aca="false">F5+G5</f>
        <v>0</v>
      </c>
    </row>
    <row r="6" customFormat="false" ht="15" hidden="false" customHeight="false" outlineLevel="0" collapsed="false">
      <c r="A6" s="4" t="s">
        <v>48</v>
      </c>
      <c r="B6" s="10" t="n">
        <v>0</v>
      </c>
      <c r="C6" s="10" t="n">
        <v>0</v>
      </c>
      <c r="D6" s="10" t="n">
        <v>0</v>
      </c>
      <c r="E6" s="10" t="n">
        <v>0</v>
      </c>
      <c r="F6" s="6" t="n">
        <f aca="false">(C6*20)+(D6*80)+(E6*300)</f>
        <v>0</v>
      </c>
      <c r="G6" s="5" t="n">
        <v>0</v>
      </c>
      <c r="H6" s="11" t="n">
        <f aca="false">F6+G6</f>
        <v>0</v>
      </c>
    </row>
    <row r="7" customFormat="false" ht="15" hidden="false" customHeight="false" outlineLevel="0" collapsed="false">
      <c r="A7" s="4" t="s">
        <v>49</v>
      </c>
      <c r="B7" s="10" t="n">
        <v>0</v>
      </c>
      <c r="C7" s="10" t="n">
        <v>0</v>
      </c>
      <c r="D7" s="10" t="n">
        <v>0</v>
      </c>
      <c r="E7" s="10" t="n">
        <v>0</v>
      </c>
      <c r="F7" s="6" t="n">
        <f aca="false">(C7*20)+(D7*80)+(E7*300)</f>
        <v>0</v>
      </c>
      <c r="G7" s="5" t="n">
        <v>0</v>
      </c>
      <c r="H7" s="11" t="n">
        <f aca="false">F7+G7</f>
        <v>0</v>
      </c>
    </row>
    <row r="8" customFormat="false" ht="15" hidden="false" customHeight="false" outlineLevel="0" collapsed="false">
      <c r="A8" s="4" t="s">
        <v>50</v>
      </c>
      <c r="B8" s="10" t="n">
        <v>0</v>
      </c>
      <c r="C8" s="10" t="n">
        <v>0</v>
      </c>
      <c r="D8" s="10" t="n">
        <v>0</v>
      </c>
      <c r="E8" s="10" t="n">
        <v>0</v>
      </c>
      <c r="F8" s="6" t="n">
        <f aca="false">(C8*20)+(D8*80)+(E8*300)</f>
        <v>0</v>
      </c>
      <c r="G8" s="5" t="n">
        <v>0</v>
      </c>
      <c r="H8" s="11" t="n">
        <f aca="false">F8+G8</f>
        <v>0</v>
      </c>
    </row>
    <row r="9" customFormat="false" ht="15" hidden="false" customHeight="false" outlineLevel="0" collapsed="false">
      <c r="A9" s="4" t="s">
        <v>51</v>
      </c>
      <c r="B9" s="10" t="n">
        <v>0</v>
      </c>
      <c r="C9" s="10" t="n">
        <v>0</v>
      </c>
      <c r="D9" s="10" t="n">
        <v>0</v>
      </c>
      <c r="E9" s="10" t="n">
        <v>0</v>
      </c>
      <c r="F9" s="6" t="n">
        <f aca="false">(C9*20)+(D9*80)+(E9*300)</f>
        <v>0</v>
      </c>
      <c r="G9" s="5" t="n">
        <v>0</v>
      </c>
      <c r="H9" s="11" t="n">
        <f aca="false">F9+G9</f>
        <v>0</v>
      </c>
    </row>
    <row r="10" customFormat="false" ht="15" hidden="false" customHeight="false" outlineLevel="0" collapsed="false">
      <c r="A10" s="4" t="s">
        <v>52</v>
      </c>
      <c r="B10" s="10" t="n">
        <v>0</v>
      </c>
      <c r="C10" s="10" t="n">
        <v>0</v>
      </c>
      <c r="D10" s="10" t="n">
        <v>0</v>
      </c>
      <c r="E10" s="10" t="n">
        <v>0</v>
      </c>
      <c r="F10" s="6" t="n">
        <f aca="false">(C10*20)+(D10*80)+(E10*300)</f>
        <v>0</v>
      </c>
      <c r="G10" s="5" t="n">
        <v>0</v>
      </c>
      <c r="H10" s="11" t="n">
        <f aca="false">F10+G10</f>
        <v>0</v>
      </c>
    </row>
    <row r="11" customFormat="false" ht="15" hidden="false" customHeight="false" outlineLevel="0" collapsed="false">
      <c r="A11" s="4" t="s">
        <v>53</v>
      </c>
      <c r="B11" s="10" t="n">
        <v>0</v>
      </c>
      <c r="C11" s="10" t="n">
        <v>0</v>
      </c>
      <c r="D11" s="10" t="n">
        <v>0</v>
      </c>
      <c r="E11" s="10" t="n">
        <v>0</v>
      </c>
      <c r="F11" s="6" t="n">
        <f aca="false">(C11*20)+(D11*80)+(E11*300)</f>
        <v>0</v>
      </c>
      <c r="G11" s="5" t="n">
        <v>0</v>
      </c>
      <c r="H11" s="11" t="n">
        <f aca="false">F11+G11</f>
        <v>0</v>
      </c>
    </row>
    <row r="12" customFormat="false" ht="15" hidden="false" customHeight="false" outlineLevel="0" collapsed="false">
      <c r="A12" s="4" t="s">
        <v>54</v>
      </c>
      <c r="B12" s="10" t="n">
        <v>0</v>
      </c>
      <c r="C12" s="10" t="n">
        <v>0</v>
      </c>
      <c r="D12" s="10" t="n">
        <v>0</v>
      </c>
      <c r="E12" s="10" t="n">
        <v>0</v>
      </c>
      <c r="F12" s="6" t="n">
        <f aca="false">(C12*20)+(D12*80)+(E12*300)</f>
        <v>0</v>
      </c>
      <c r="G12" s="5" t="n">
        <v>0</v>
      </c>
      <c r="H12" s="11" t="n">
        <f aca="false">F12+G12</f>
        <v>0</v>
      </c>
    </row>
    <row r="13" customFormat="false" ht="15" hidden="false" customHeight="false" outlineLevel="0" collapsed="false">
      <c r="A13" s="4" t="s">
        <v>55</v>
      </c>
      <c r="B13" s="10" t="n">
        <v>0</v>
      </c>
      <c r="C13" s="10" t="n">
        <v>0</v>
      </c>
      <c r="D13" s="10" t="n">
        <v>0</v>
      </c>
      <c r="E13" s="10" t="n">
        <v>0</v>
      </c>
      <c r="F13" s="6" t="n">
        <f aca="false">(C13*20)+(D13*80)+(E13*300)</f>
        <v>0</v>
      </c>
      <c r="G13" s="5" t="n">
        <v>0</v>
      </c>
      <c r="H13" s="11" t="n">
        <f aca="false">F13+G13</f>
        <v>0</v>
      </c>
    </row>
    <row r="14" customFormat="false" ht="15" hidden="false" customHeight="false" outlineLevel="0" collapsed="false">
      <c r="A14" s="4" t="s">
        <v>56</v>
      </c>
      <c r="B14" s="10" t="n">
        <v>0</v>
      </c>
      <c r="C14" s="10" t="n">
        <v>0</v>
      </c>
      <c r="D14" s="10" t="n">
        <v>0</v>
      </c>
      <c r="E14" s="10" t="n">
        <v>0</v>
      </c>
      <c r="F14" s="6" t="n">
        <f aca="false">(C14*20)+(D14*80)+(E14*300)</f>
        <v>0</v>
      </c>
      <c r="G14" s="5" t="n">
        <v>0</v>
      </c>
      <c r="H14" s="11" t="n">
        <f aca="false">F14+G14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20"/>
  </cols>
  <sheetData>
    <row r="1" customFormat="false" ht="17.9" hidden="false" customHeight="false" outlineLevel="0" collapsed="false">
      <c r="A1" s="1" t="s">
        <v>57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12" t="s">
        <v>67</v>
      </c>
      <c r="E5" s="4" t="s">
        <v>68</v>
      </c>
      <c r="F5" s="4" t="s">
        <v>69</v>
      </c>
    </row>
    <row r="6" customFormat="false" ht="15" hidden="false" customHeight="false" outlineLevel="0" collapsed="false">
      <c r="A6" s="4" t="s">
        <v>64</v>
      </c>
      <c r="B6" s="4" t="s">
        <v>70</v>
      </c>
      <c r="C6" s="13" t="s">
        <v>71</v>
      </c>
      <c r="D6" s="12" t="s">
        <v>67</v>
      </c>
      <c r="E6" s="4" t="s">
        <v>72</v>
      </c>
      <c r="F6" s="4" t="s">
        <v>73</v>
      </c>
    </row>
    <row r="7" customFormat="false" ht="15" hidden="false" customHeight="false" outlineLevel="0" collapsed="false">
      <c r="A7" s="4" t="s">
        <v>64</v>
      </c>
      <c r="B7" s="4" t="s">
        <v>74</v>
      </c>
      <c r="C7" s="13" t="s">
        <v>71</v>
      </c>
      <c r="D7" s="12" t="s">
        <v>67</v>
      </c>
      <c r="E7" s="4" t="s">
        <v>75</v>
      </c>
      <c r="F7" s="4" t="s">
        <v>73</v>
      </c>
    </row>
    <row r="8" customFormat="false" ht="15" hidden="false" customHeight="false" outlineLevel="0" collapsed="false">
      <c r="A8" s="4" t="s">
        <v>64</v>
      </c>
      <c r="B8" s="4" t="s">
        <v>76</v>
      </c>
      <c r="C8" s="4" t="s">
        <v>66</v>
      </c>
      <c r="D8" s="12" t="s">
        <v>67</v>
      </c>
      <c r="E8" s="4" t="s">
        <v>77</v>
      </c>
      <c r="F8" s="4" t="s">
        <v>69</v>
      </c>
    </row>
    <row r="9" customFormat="false" ht="15" hidden="false" customHeight="false" outlineLevel="0" collapsed="false">
      <c r="A9" s="4" t="s">
        <v>64</v>
      </c>
      <c r="B9" s="4" t="s">
        <v>78</v>
      </c>
      <c r="C9" s="4" t="s">
        <v>66</v>
      </c>
      <c r="D9" s="12" t="s">
        <v>67</v>
      </c>
      <c r="E9" s="4" t="s">
        <v>79</v>
      </c>
      <c r="F9" s="4" t="s">
        <v>69</v>
      </c>
    </row>
    <row r="10" customFormat="false" ht="15" hidden="false" customHeight="false" outlineLevel="0" collapsed="false">
      <c r="A10" s="4" t="s">
        <v>64</v>
      </c>
      <c r="B10" s="4" t="s">
        <v>80</v>
      </c>
      <c r="C10" s="4" t="s">
        <v>66</v>
      </c>
      <c r="D10" s="12" t="s">
        <v>67</v>
      </c>
      <c r="E10" s="4" t="s">
        <v>81</v>
      </c>
      <c r="F10" s="4" t="s">
        <v>69</v>
      </c>
    </row>
    <row r="11" customFormat="false" ht="15" hidden="false" customHeight="false" outlineLevel="0" collapsed="false">
      <c r="A11" s="4" t="s">
        <v>64</v>
      </c>
      <c r="B11" s="4" t="s">
        <v>82</v>
      </c>
      <c r="C11" s="13" t="s">
        <v>71</v>
      </c>
      <c r="D11" s="12" t="s">
        <v>67</v>
      </c>
      <c r="E11" s="4" t="s">
        <v>83</v>
      </c>
      <c r="F11" s="4" t="s">
        <v>73</v>
      </c>
    </row>
    <row r="12" customFormat="false" ht="15" hidden="false" customHeight="false" outlineLevel="0" collapsed="false">
      <c r="A12" s="4" t="s">
        <v>64</v>
      </c>
      <c r="B12" s="4" t="s">
        <v>84</v>
      </c>
      <c r="C12" s="4" t="s">
        <v>66</v>
      </c>
      <c r="D12" s="12" t="s">
        <v>67</v>
      </c>
      <c r="E12" s="4" t="s">
        <v>85</v>
      </c>
      <c r="F12" s="4" t="s">
        <v>69</v>
      </c>
    </row>
    <row r="13" customFormat="false" ht="15" hidden="false" customHeight="false" outlineLevel="0" collapsed="false">
      <c r="A13" s="4" t="s">
        <v>64</v>
      </c>
      <c r="B13" s="4" t="s">
        <v>86</v>
      </c>
      <c r="C13" s="4" t="s">
        <v>66</v>
      </c>
      <c r="D13" s="12" t="s">
        <v>67</v>
      </c>
      <c r="E13" s="4" t="s">
        <v>87</v>
      </c>
      <c r="F13" s="4" t="s">
        <v>69</v>
      </c>
    </row>
    <row r="14" customFormat="false" ht="15" hidden="false" customHeight="false" outlineLevel="0" collapsed="false">
      <c r="A14" s="4" t="s">
        <v>64</v>
      </c>
      <c r="B14" s="4" t="s">
        <v>88</v>
      </c>
      <c r="C14" s="13" t="s">
        <v>71</v>
      </c>
      <c r="D14" s="12" t="s">
        <v>67</v>
      </c>
      <c r="E14" s="4" t="s">
        <v>89</v>
      </c>
      <c r="F14" s="4" t="s">
        <v>73</v>
      </c>
    </row>
    <row r="15" customFormat="false" ht="15" hidden="false" customHeight="false" outlineLevel="0" collapsed="false">
      <c r="A15" s="4" t="s">
        <v>64</v>
      </c>
      <c r="B15" s="4" t="s">
        <v>90</v>
      </c>
      <c r="C15" s="4" t="s">
        <v>66</v>
      </c>
      <c r="D15" s="12" t="s">
        <v>67</v>
      </c>
      <c r="E15" s="4" t="s">
        <v>91</v>
      </c>
      <c r="F15" s="4" t="s">
        <v>69</v>
      </c>
    </row>
    <row r="16" customFormat="false" ht="15" hidden="false" customHeight="false" outlineLevel="0" collapsed="false">
      <c r="A16" s="4" t="s">
        <v>64</v>
      </c>
      <c r="B16" s="4" t="s">
        <v>92</v>
      </c>
      <c r="C16" s="4" t="s">
        <v>93</v>
      </c>
      <c r="D16" s="12" t="s">
        <v>67</v>
      </c>
      <c r="E16" s="4" t="s">
        <v>94</v>
      </c>
      <c r="F16" s="13" t="s">
        <v>95</v>
      </c>
    </row>
    <row r="17" customFormat="false" ht="15" hidden="false" customHeight="false" outlineLevel="0" collapsed="false">
      <c r="A17" s="4" t="s">
        <v>64</v>
      </c>
      <c r="B17" s="4" t="s">
        <v>96</v>
      </c>
      <c r="C17" s="4" t="s">
        <v>97</v>
      </c>
      <c r="D17" s="12" t="s">
        <v>67</v>
      </c>
      <c r="E17" s="4" t="s">
        <v>98</v>
      </c>
      <c r="F17" s="13" t="s">
        <v>95</v>
      </c>
    </row>
    <row r="18" customFormat="false" ht="15" hidden="false" customHeight="false" outlineLevel="0" collapsed="false">
      <c r="A18" s="4" t="s">
        <v>64</v>
      </c>
      <c r="B18" s="4" t="s">
        <v>99</v>
      </c>
      <c r="C18" s="13" t="s">
        <v>100</v>
      </c>
      <c r="D18" s="12" t="s">
        <v>67</v>
      </c>
      <c r="E18" s="13" t="s">
        <v>101</v>
      </c>
      <c r="F18" s="4" t="s">
        <v>102</v>
      </c>
    </row>
    <row r="19" customFormat="false" ht="15" hidden="false" customHeight="false" outlineLevel="0" collapsed="false">
      <c r="A19" s="4" t="s">
        <v>64</v>
      </c>
      <c r="B19" s="4" t="s">
        <v>103</v>
      </c>
      <c r="C19" s="4" t="s">
        <v>66</v>
      </c>
      <c r="D19" s="12" t="s">
        <v>67</v>
      </c>
      <c r="E19" s="4" t="s">
        <v>104</v>
      </c>
      <c r="F19" s="4" t="s">
        <v>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2026-03-11T06:01:32Z</dcterms:created>
  <dc:creator>openpyxl</dc:creator>
  <dc:description/>
  <dc:language>en-US</dc:language>
  <cp:lastModifiedBy/>
  <dcterms:modified xsi:type="dcterms:W3CDTF">2026-03-11T06:01:32Z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