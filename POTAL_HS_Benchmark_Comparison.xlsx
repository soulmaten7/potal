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Comparison" sheetId="1" state="visible" r:id="rId3"/>
    <sheet name="Error Analysis (v2.0)" sheetId="2" state="visible" r:id="rId4"/>
    <sheet name="Key 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<sst xmlns="http://schemas.openxmlformats.org/spreadsheetml/2006/main" count="221" uniqueCount="177">
  <si>
    <t xml:space="preserve">HS Code Classification Benchmark — Competitor Comparison</t>
  </si>
  <si>
    <t xml:space="preserve">Source: arXiv:2412.14179 "Benchmarking Harmonized Tariff Schedule Classification Models" (Dec 2024) + POTAL Internal Tests</t>
  </si>
  <si>
    <t xml:space="preserve">Service</t>
  </si>
  <si>
    <t xml:space="preserve">6-Digit Accuracy</t>
  </si>
  <si>
    <t xml:space="preserve">4-Digit Accuracy</t>
  </si>
  <si>
    <t xml:space="preserve">2-Digit (Chapter)</t>
  </si>
  <si>
    <t xml:space="preserve">AI Calls/Query</t>
  </si>
  <si>
    <t xml:space="preserve">Cost/Query (est.)</t>
  </si>
  <si>
    <t xml:space="preserve">Method</t>
  </si>
  <si>
    <t xml:space="preserve">Notes</t>
  </si>
  <si>
    <t xml:space="preserve">Tarifflo</t>
  </si>
  <si>
    <t xml:space="preserve">89%</t>
  </si>
  <si>
    <t xml:space="preserve">-</t>
  </si>
  <si>
    <t xml:space="preserve">Unknown</t>
  </si>
  <si>
    <t xml:space="preserve">~$0.50-1.00</t>
  </si>
  <si>
    <t xml:space="preserve">Proprietary AI + Expert Rules</t>
  </si>
  <si>
    <t xml:space="preserve">Best in class (arXiv paper)</t>
  </si>
  <si>
    <t xml:space="preserve">Avalara</t>
  </si>
  <si>
    <t xml:space="preserve">80%</t>
  </si>
  <si>
    <t xml:space="preserve">~$1.00-2.00</t>
  </si>
  <si>
    <t xml:space="preserve">AI + Human Review Hybrid</t>
  </si>
  <si>
    <t xml:space="preserve">Enterprise-grade, 40M+ mappings</t>
  </si>
  <si>
    <t xml:space="preserve">Zonos</t>
  </si>
  <si>
    <t xml:space="preserve">44%</t>
  </si>
  <si>
    <t xml:space="preserve">~$0.10-0.50</t>
  </si>
  <si>
    <t xml:space="preserve">AI Classification</t>
  </si>
  <si>
    <t xml:space="preserve">Focused on e-commerce</t>
  </si>
  <si>
    <t xml:space="preserve">WCO BACUDA</t>
  </si>
  <si>
    <t xml:space="preserve">13%</t>
  </si>
  <si>
    <t xml:space="preserve">Free</t>
  </si>
  <si>
    <t xml:space="preserve">Statistical ML (LSTM/CNN)</t>
  </si>
  <si>
    <t xml:space="preserve">WCO official tool, academic approach</t>
  </si>
  <si>
    <t xml:space="preserve">POTAL (v2.0 — Latest)</t>
  </si>
  <si>
    <t xml:space="preserve">4.0</t>
  </si>
  <si>
    <t xml:space="preserve">~$0.002</t>
  </si>
  <si>
    <t xml:space="preserve">GRI Pipeline + LLM (GPT-4o-mini)</t>
  </si>
  <si>
    <t xml:space="preserve">Per-step LLM prompts, keyword+semantic hybrid</t>
  </si>
  <si>
    <t xml:space="preserve">POTAL Version History</t>
  </si>
  <si>
    <t xml:space="preserve">Version</t>
  </si>
  <si>
    <t xml:space="preserve">6-Digit</t>
  </si>
  <si>
    <t xml:space="preserve">4-Digit</t>
  </si>
  <si>
    <t xml:space="preserve">AI Calls</t>
  </si>
  <si>
    <t xml:space="preserve">Cost/Query</t>
  </si>
  <si>
    <t xml:space="preserve">Date</t>
  </si>
  <si>
    <t xml:space="preserve">v2 (GPT-4o-mini direct)</t>
  </si>
  <si>
    <t xml:space="preserve">25%</t>
  </si>
  <si>
    <t xml:space="preserve">1.0</t>
  </si>
  <si>
    <t xml:space="preserve">~$0.001</t>
  </si>
  <si>
    <t xml:space="preserve">Direct LLM call</t>
  </si>
  <si>
    <t xml:space="preserve">2026-03</t>
  </si>
  <si>
    <t xml:space="preserve">v8 (GPT-4o direct)</t>
  </si>
  <si>
    <t xml:space="preserve">37%</t>
  </si>
  <si>
    <t xml:space="preserve">~$0.01</t>
  </si>
  <si>
    <t xml:space="preserve">v10 (GPT-4o + GRI prompt)</t>
  </si>
  <si>
    <t xml:space="preserve">38%</t>
  </si>
  <si>
    <t xml:space="preserve">Single GRI prompt</t>
  </si>
  <si>
    <t xml:space="preserve">v1.0 (GRI keyword only)</t>
  </si>
  <si>
    <t xml:space="preserve">0%</t>
  </si>
  <si>
    <t xml:space="preserve">24%</t>
  </si>
  <si>
    <t xml:space="preserve">0.20</t>
  </si>
  <si>
    <t xml:space="preserve">$0</t>
  </si>
  <si>
    <t xml:space="preserve">Keyword matching only</t>
  </si>
  <si>
    <t xml:space="preserve">2026-03-17</t>
  </si>
  <si>
    <t xml:space="preserve">v1.1 (+ heading files)</t>
  </si>
  <si>
    <t xml:space="preserve">4%</t>
  </si>
  <si>
    <t xml:space="preserve">12%</t>
  </si>
  <si>
    <t xml:space="preserve">33%</t>
  </si>
  <si>
    <t xml:space="preserve">0.46</t>
  </si>
  <si>
    <t xml:space="preserve">+ heading descriptions</t>
  </si>
  <si>
    <t xml:space="preserve">v1.2 (+ Notes built-in)</t>
  </si>
  <si>
    <t xml:space="preserve">6%</t>
  </si>
  <si>
    <t xml:space="preserve">16%</t>
  </si>
  <si>
    <t xml:space="preserve">35%</t>
  </si>
  <si>
    <t xml:space="preserve">0.52</t>
  </si>
  <si>
    <t xml:space="preserve">+ section/chapter notes</t>
  </si>
  <si>
    <t xml:space="preserve">v2.0 (LLM per-step)</t>
  </si>
  <si>
    <t xml:space="preserve">28%</t>
  </si>
  <si>
    <t xml:space="preserve">4.00</t>
  </si>
  <si>
    <t xml:space="preserve">Per-step LLM (GPT-4o-mini)</t>
  </si>
  <si>
    <t xml:space="preserve">2026-03-18</t>
  </si>
  <si>
    <t xml:space="preserve">Target Milestones</t>
  </si>
  <si>
    <t xml:space="preserve">Milestone</t>
  </si>
  <si>
    <t xml:space="preserve">Chapter</t>
  </si>
  <si>
    <t xml:space="preserve">Strategy</t>
  </si>
  <si>
    <t xml:space="preserve">Target: Phase 1</t>
  </si>
  <si>
    <t xml:space="preserve">50%+</t>
  </si>
  <si>
    <t xml:space="preserve">60%+</t>
  </si>
  <si>
    <t xml:space="preserve">70%+</t>
  </si>
  <si>
    <t xml:space="preserve">4-5</t>
  </si>
  <si>
    <t xml:space="preserve">~$0.003</t>
  </si>
  <si>
    <t xml:space="preserve">GPT-4o upgrade + prompt tuning</t>
  </si>
  <si>
    <t xml:space="preserve">Target: Phase 2</t>
  </si>
  <si>
    <t xml:space="preserve">80%+</t>
  </si>
  <si>
    <t xml:space="preserve">85%+</t>
  </si>
  <si>
    <t xml:space="preserve">~$0.005</t>
  </si>
  <si>
    <t xml:space="preserve">+ conflict patterns + EBTI data</t>
  </si>
  <si>
    <t xml:space="preserve">Target: Phase 3</t>
  </si>
  <si>
    <t xml:space="preserve">89%+</t>
  </si>
  <si>
    <t xml:space="preserve">90%+</t>
  </si>
  <si>
    <t xml:space="preserve">95%+</t>
  </si>
  <si>
    <t xml:space="preserve">3-4</t>
  </si>
  <si>
    <t xml:space="preserve">+ DB cache flywheel + optimization</t>
  </si>
  <si>
    <t xml:space="preserve">GRI v2.0 Benchmark Error Analysis — 87 Errors / 100 Items</t>
  </si>
  <si>
    <t xml:space="preserve">Error Type</t>
  </si>
  <si>
    <t xml:space="preserve">Count</t>
  </si>
  <si>
    <t xml:space="preserve">%</t>
  </si>
  <si>
    <t xml:space="preserve">Description</t>
  </si>
  <si>
    <t xml:space="preserve">Root Cause</t>
  </si>
  <si>
    <t xml:space="preserve">Fix Strategy</t>
  </si>
  <si>
    <t xml:space="preserve">chapter_miss</t>
  </si>
  <si>
    <t xml:space="preserve">LLM chose correct Section but wrong Chapter</t>
  </si>
  <si>
    <t xml:space="preserve">Step 4 prompt not specific enough for chapter-level distinctions</t>
  </si>
  <si>
    <t xml:space="preserve">Enhance Step 4 prompt with chapter-level exclusion rules + examples</t>
  </si>
  <si>
    <t xml:space="preserve">heading_miss</t>
  </si>
  <si>
    <t xml:space="preserve">Correct Chapter but wrong Heading (4-digit)</t>
  </si>
  <si>
    <t xml:space="preserve">Step 6 prompt lacks heading-level specificity</t>
  </si>
  <si>
    <t xml:space="preserve">Add GRI 1 heading text matching + more examples per chapter</t>
  </si>
  <si>
    <t xml:space="preserve">subheading_miss</t>
  </si>
  <si>
    <t xml:space="preserve">Correct Heading but wrong 6-digit Subheading</t>
  </si>
  <si>
    <t xml:space="preserve">Step 8 prompt missing subheading notes + material/composition rules</t>
  </si>
  <si>
    <t xml:space="preserve">Add subheading notes + material-based selection logic</t>
  </si>
  <si>
    <t xml:space="preserve">Total</t>
  </si>
  <si>
    <t xml:space="preserve">Correct Items (13/100) — Pattern Analysis</t>
  </si>
  <si>
    <t xml:space="preserve">#</t>
  </si>
  <si>
    <t xml:space="preserve">Product Name</t>
  </si>
  <si>
    <t xml:space="preserve">Predicted HS6</t>
  </si>
  <si>
    <t xml:space="preserve">Correct HS6</t>
  </si>
  <si>
    <t xml:space="preserve">Confidence</t>
  </si>
  <si>
    <t xml:space="preserve">Why Correct</t>
  </si>
  <si>
    <t xml:space="preserve">Lead ingots from India</t>
  </si>
  <si>
    <t xml:space="preserve">780110</t>
  </si>
  <si>
    <t xml:space="preserve">Single material + clear form → Chapter 78 obvious</t>
  </si>
  <si>
    <t xml:space="preserve">Crude petroleum</t>
  </si>
  <si>
    <t xml:space="preserve">270900</t>
  </si>
  <si>
    <t xml:space="preserve">Commodity product → exact HS match</t>
  </si>
  <si>
    <t xml:space="preserve">Watch straps</t>
  </si>
  <si>
    <t xml:space="preserve">911320</t>
  </si>
  <si>
    <t xml:space="preserve">Specific accessory → clear heading</t>
  </si>
  <si>
    <t xml:space="preserve">Plastic bottles</t>
  </si>
  <si>
    <t xml:space="preserve">392330</t>
  </si>
  <si>
    <t xml:space="preserve">Material (plastic) + form (bottle) → clear</t>
  </si>
  <si>
    <t xml:space="preserve">Cotton fabric</t>
  </si>
  <si>
    <t xml:space="preserve">520812</t>
  </si>
  <si>
    <t xml:space="preserve">Material + weave type → direct match</t>
  </si>
  <si>
    <t xml:space="preserve">Benchmark Key Findings &amp; Next Steps</t>
  </si>
  <si>
    <t xml:space="preserve">Finding</t>
  </si>
  <si>
    <t xml:space="preserve">Detail</t>
  </si>
  <si>
    <t xml:space="preserve">Impact</t>
  </si>
  <si>
    <t xml:space="preserve">Action</t>
  </si>
  <si>
    <t xml:space="preserve">CBP ruling format ≠ real API input</t>
  </si>
  <si>
    <t xml:space="preserve">Benchmark uses "The tariff classification and country of origin of..." format. Real API gets "Cotton T-Shirt"</t>
  </si>
  <si>
    <t xml:space="preserve">Benchmark accuracy likely understates real-world performance</t>
  </si>
  <si>
    <t xml:space="preserve">Add CBP ruling format translation to Step 2 prompt</t>
  </si>
  <si>
    <t xml:space="preserve">GPT-4o-mini HS knowledge limited</t>
  </si>
  <si>
    <t xml:space="preserve">GPT-4o-mini has weaker HS nomenclature knowledge vs GPT-4o</t>
  </si>
  <si>
    <t xml:space="preserve">Could gain 10-20% accuracy with model upgrade</t>
  </si>
  <si>
    <t xml:space="preserve">Test GPT-4o on same 100 items (cost: ~$2.00)</t>
  </si>
  <si>
    <t xml:space="preserve">56/87 errors are chapter_miss</t>
  </si>
  <si>
    <t xml:space="preserve">LLM finds right Section but picks wrong Chapter</t>
  </si>
  <si>
    <t xml:space="preserve">Step 4 (Chapter Match) prompt is #1 priority for improvement</t>
  </si>
  <si>
    <t xml:space="preserve">Add chapter exclusion rules + 50+ examples per section</t>
  </si>
  <si>
    <t xml:space="preserve">13 correct = simple single-material products</t>
  </si>
  <si>
    <t xml:space="preserve">Lead ingots, crude petroleum, cotton fabric — clear material + form</t>
  </si>
  <si>
    <t xml:space="preserve">Pipeline works for obvious products, fails on ambiguous/composite</t>
  </si>
  <si>
    <t xml:space="preserve">Focus prompt improvement on composite/ambiguous products</t>
  </si>
  <si>
    <t xml:space="preserve">AI call count = 4.0 per query</t>
  </si>
  <si>
    <t xml:space="preserve">4 LLM calls × ~$0.0005 = $0.002/query</t>
  </si>
  <si>
    <t xml:space="preserve">Cost is excellent even with GPT-4o (~$0.02/query)</t>
  </si>
  <si>
    <t xml:space="preserve">Cost is not a concern — focus on accuracy</t>
  </si>
  <si>
    <t xml:space="preserve">v2.0 doubled v1.2 accuracy</t>
  </si>
  <si>
    <t xml:space="preserve">6%→13% (6-digit), 16%→28% (4-digit), 35%→44% (chapter)</t>
  </si>
  <si>
    <t xml:space="preserve">LLM approach works, just needs better prompts</t>
  </si>
  <si>
    <t xml:space="preserve">Iterative prompt improvement is the path forward</t>
  </si>
  <si>
    <t xml:space="preserve">DB cache hit = $0, instant</t>
  </si>
  <si>
    <t xml:space="preserve">Known products skip all LLM calls</t>
  </si>
  <si>
    <t xml:space="preserve">As DB grows, cost per query approaches $0</t>
  </si>
  <si>
    <t xml:space="preserve">Prioritize DB cache expansion after accuracy is solved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</si>
</sst>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61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6EFCE"/>
        <bgColor rgb="FFE8F5E9"/>
      </patternFill>
    </fill>
    <fill>
      <patternFill patternType="solid">
        <fgColor rgb="FFE8F4FD"/>
        <bgColor rgb="FFE8F5E9"/>
      </patternFill>
    </fill>
    <fill>
      <patternFill patternType="solid">
        <fgColor rgb="FF2D4A7A"/>
        <bgColor rgb="FF1B2A4A"/>
      </patternFill>
    </fill>
    <fill>
      <patternFill patternType="solid">
        <fgColor rgb="FFF5F5F5"/>
        <bgColor rgb="FFE8F4FD"/>
      </patternFill>
    </fill>
    <fill>
      <patternFill patternType="solid">
        <fgColor rgb="FFFFFFCC"/>
        <bgColor rgb="FFF5F5F5"/>
      </patternFill>
    </fill>
    <fill>
      <patternFill patternType="solid">
        <fgColor rgb="FF4A7A2D"/>
        <bgColor rgb="FF666666"/>
      </patternFill>
    </fill>
    <fill>
      <patternFill patternType="solid">
        <fgColor rgb="FFFF6B6B"/>
        <bgColor rgb="FFFF6600"/>
      </patternFill>
    </fill>
    <fill>
      <patternFill patternType="solid">
        <fgColor rgb="FFE8F5E9"/>
        <bgColor rgb="FFE8F4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4FD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A7A2D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3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4" t="s">
        <v>12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customFormat="false" ht="15" hidden="false" customHeight="false" outlineLevel="0" collapsed="false">
      <c r="A6" s="4" t="s">
        <v>17</v>
      </c>
      <c r="B6" s="4" t="s">
        <v>18</v>
      </c>
      <c r="C6" s="4" t="s">
        <v>12</v>
      </c>
      <c r="D6" s="4" t="s">
        <v>12</v>
      </c>
      <c r="E6" s="4" t="s">
        <v>13</v>
      </c>
      <c r="F6" s="4" t="s">
        <v>19</v>
      </c>
      <c r="G6" s="4" t="s">
        <v>20</v>
      </c>
      <c r="H6" s="4" t="s">
        <v>21</v>
      </c>
    </row>
    <row r="7" customFormat="false" ht="15" hidden="false" customHeight="false" outlineLevel="0" collapsed="false">
      <c r="A7" s="4" t="s">
        <v>22</v>
      </c>
      <c r="B7" s="4" t="s">
        <v>23</v>
      </c>
      <c r="C7" s="4" t="s">
        <v>12</v>
      </c>
      <c r="D7" s="4" t="s">
        <v>12</v>
      </c>
      <c r="E7" s="4" t="s">
        <v>13</v>
      </c>
      <c r="F7" s="4" t="s">
        <v>24</v>
      </c>
      <c r="G7" s="4" t="s">
        <v>25</v>
      </c>
      <c r="H7" s="4" t="s">
        <v>26</v>
      </c>
    </row>
    <row r="8" customFormat="false" ht="15" hidden="false" customHeight="false" outlineLevel="0" collapsed="false">
      <c r="A8" s="4" t="s">
        <v>27</v>
      </c>
      <c r="B8" s="4" t="s">
        <v>28</v>
      </c>
      <c r="C8" s="4" t="s">
        <v>12</v>
      </c>
      <c r="D8" s="4" t="s">
        <v>12</v>
      </c>
      <c r="E8" s="4" t="s">
        <v>13</v>
      </c>
      <c r="F8" s="4" t="s">
        <v>29</v>
      </c>
      <c r="G8" s="4" t="s">
        <v>30</v>
      </c>
      <c r="H8" s="4" t="s">
        <v>31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3.85" hidden="false" customHeight="false" outlineLevel="0" collapsed="false">
      <c r="A10" s="6" t="s">
        <v>32</v>
      </c>
      <c r="B10" s="6"/>
      <c r="C10" s="6"/>
      <c r="D10" s="6"/>
      <c r="E10" s="6" t="s">
        <v>33</v>
      </c>
      <c r="F10" s="6" t="s">
        <v>34</v>
      </c>
      <c r="G10" s="6" t="s">
        <v>35</v>
      </c>
      <c r="H10" s="6" t="s">
        <v>36</v>
      </c>
    </row>
    <row r="13" customFormat="false" ht="30" hidden="false" customHeight="true" outlineLevel="0" collapsed="false">
      <c r="A13" s="7" t="s">
        <v>37</v>
      </c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8" t="s">
        <v>38</v>
      </c>
      <c r="B14" s="8" t="s">
        <v>39</v>
      </c>
      <c r="C14" s="8" t="s">
        <v>40</v>
      </c>
      <c r="D14" s="8" t="s">
        <v>5</v>
      </c>
      <c r="E14" s="8" t="s">
        <v>41</v>
      </c>
      <c r="F14" s="8" t="s">
        <v>42</v>
      </c>
      <c r="G14" s="8" t="s">
        <v>8</v>
      </c>
      <c r="H14" s="8" t="s">
        <v>43</v>
      </c>
    </row>
    <row r="15" customFormat="false" ht="15" hidden="false" customHeight="false" outlineLevel="0" collapsed="false">
      <c r="A15" s="4" t="s">
        <v>44</v>
      </c>
      <c r="B15" s="4" t="s">
        <v>45</v>
      </c>
      <c r="C15" s="4" t="s">
        <v>12</v>
      </c>
      <c r="D15" s="4" t="s">
        <v>12</v>
      </c>
      <c r="E15" s="4" t="s">
        <v>46</v>
      </c>
      <c r="F15" s="4" t="s">
        <v>47</v>
      </c>
      <c r="G15" s="4" t="s">
        <v>48</v>
      </c>
      <c r="H15" s="4" t="s">
        <v>49</v>
      </c>
    </row>
    <row r="16" customFormat="false" ht="15" hidden="false" customHeight="false" outlineLevel="0" collapsed="false">
      <c r="A16" s="9" t="s">
        <v>50</v>
      </c>
      <c r="B16" s="9" t="s">
        <v>51</v>
      </c>
      <c r="C16" s="9" t="s">
        <v>12</v>
      </c>
      <c r="D16" s="9" t="s">
        <v>12</v>
      </c>
      <c r="E16" s="9" t="s">
        <v>46</v>
      </c>
      <c r="F16" s="9" t="s">
        <v>52</v>
      </c>
      <c r="G16" s="9" t="s">
        <v>48</v>
      </c>
      <c r="H16" s="9" t="s">
        <v>49</v>
      </c>
    </row>
    <row r="17" customFormat="false" ht="23.85" hidden="false" customHeight="false" outlineLevel="0" collapsed="false">
      <c r="A17" s="4" t="s">
        <v>53</v>
      </c>
      <c r="B17" s="4" t="s">
        <v>54</v>
      </c>
      <c r="C17" s="4" t="s">
        <v>12</v>
      </c>
      <c r="D17" s="4" t="s">
        <v>12</v>
      </c>
      <c r="E17" s="4" t="s">
        <v>46</v>
      </c>
      <c r="F17" s="4" t="s">
        <v>52</v>
      </c>
      <c r="G17" s="4" t="s">
        <v>55</v>
      </c>
      <c r="H17" s="4" t="s">
        <v>49</v>
      </c>
    </row>
    <row r="18" customFormat="false" ht="15" hidden="false" customHeight="false" outlineLevel="0" collapsed="false">
      <c r="A18" s="9" t="s">
        <v>56</v>
      </c>
      <c r="B18" s="9" t="s">
        <v>57</v>
      </c>
      <c r="C18" s="9" t="s">
        <v>57</v>
      </c>
      <c r="D18" s="9" t="s">
        <v>58</v>
      </c>
      <c r="E18" s="9" t="s">
        <v>59</v>
      </c>
      <c r="F18" s="9" t="s">
        <v>60</v>
      </c>
      <c r="G18" s="9" t="s">
        <v>61</v>
      </c>
      <c r="H18" s="9" t="s">
        <v>62</v>
      </c>
    </row>
    <row r="19" customFormat="false" ht="15" hidden="false" customHeight="false" outlineLevel="0" collapsed="false">
      <c r="A19" s="4" t="s">
        <v>63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60</v>
      </c>
      <c r="G19" s="4" t="s">
        <v>68</v>
      </c>
      <c r="H19" s="4" t="s">
        <v>62</v>
      </c>
    </row>
    <row r="20" customFormat="false" ht="15" hidden="false" customHeight="false" outlineLevel="0" collapsed="false">
      <c r="A20" s="9" t="s">
        <v>69</v>
      </c>
      <c r="B20" s="9" t="s">
        <v>70</v>
      </c>
      <c r="C20" s="9" t="s">
        <v>71</v>
      </c>
      <c r="D20" s="9" t="s">
        <v>72</v>
      </c>
      <c r="E20" s="9" t="s">
        <v>73</v>
      </c>
      <c r="F20" s="9" t="s">
        <v>47</v>
      </c>
      <c r="G20" s="9" t="s">
        <v>74</v>
      </c>
      <c r="H20" s="9" t="s">
        <v>62</v>
      </c>
    </row>
    <row r="21" customFormat="false" ht="15" hidden="false" customHeight="false" outlineLevel="0" collapsed="false">
      <c r="A21" s="10" t="s">
        <v>75</v>
      </c>
      <c r="B21" s="10" t="s">
        <v>28</v>
      </c>
      <c r="C21" s="10" t="s">
        <v>76</v>
      </c>
      <c r="D21" s="10" t="s">
        <v>23</v>
      </c>
      <c r="E21" s="10" t="s">
        <v>77</v>
      </c>
      <c r="F21" s="10" t="s">
        <v>34</v>
      </c>
      <c r="G21" s="10" t="s">
        <v>78</v>
      </c>
      <c r="H21" s="10" t="s">
        <v>79</v>
      </c>
    </row>
    <row r="23" customFormat="false" ht="16.15" hidden="false" customHeight="false" outlineLevel="0" collapsed="false">
      <c r="A23" s="7" t="s">
        <v>80</v>
      </c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11" t="s">
        <v>81</v>
      </c>
      <c r="B24" s="11" t="s">
        <v>39</v>
      </c>
      <c r="C24" s="11" t="s">
        <v>40</v>
      </c>
      <c r="D24" s="11" t="s">
        <v>82</v>
      </c>
      <c r="E24" s="11" t="s">
        <v>41</v>
      </c>
      <c r="F24" s="11" t="s">
        <v>42</v>
      </c>
      <c r="G24" s="11" t="s">
        <v>83</v>
      </c>
      <c r="H24" s="11"/>
    </row>
    <row r="25" customFormat="false" ht="15" hidden="false" customHeight="false" outlineLevel="0" collapsed="false">
      <c r="A25" s="4" t="s">
        <v>84</v>
      </c>
      <c r="B25" s="4" t="s">
        <v>85</v>
      </c>
      <c r="C25" s="4" t="s">
        <v>86</v>
      </c>
      <c r="D25" s="4" t="s">
        <v>87</v>
      </c>
      <c r="E25" s="4" t="s">
        <v>88</v>
      </c>
      <c r="F25" s="4" t="s">
        <v>89</v>
      </c>
      <c r="G25" s="4" t="s">
        <v>90</v>
      </c>
      <c r="H25" s="4"/>
    </row>
    <row r="26" customFormat="false" ht="15" hidden="false" customHeight="false" outlineLevel="0" collapsed="false">
      <c r="A26" s="4" t="s">
        <v>91</v>
      </c>
      <c r="B26" s="4" t="s">
        <v>87</v>
      </c>
      <c r="C26" s="4" t="s">
        <v>92</v>
      </c>
      <c r="D26" s="4" t="s">
        <v>93</v>
      </c>
      <c r="E26" s="4" t="s">
        <v>88</v>
      </c>
      <c r="F26" s="4" t="s">
        <v>94</v>
      </c>
      <c r="G26" s="4" t="s">
        <v>95</v>
      </c>
      <c r="H26" s="4"/>
    </row>
    <row r="27" customFormat="false" ht="23.85" hidden="false" customHeight="false" outlineLevel="0" collapsed="false">
      <c r="A27" s="5" t="s">
        <v>96</v>
      </c>
      <c r="B27" s="5" t="s">
        <v>97</v>
      </c>
      <c r="C27" s="5" t="s">
        <v>98</v>
      </c>
      <c r="D27" s="5" t="s">
        <v>99</v>
      </c>
      <c r="E27" s="5" t="s">
        <v>100</v>
      </c>
      <c r="F27" s="5" t="s">
        <v>89</v>
      </c>
      <c r="G27" s="5" t="s">
        <v>101</v>
      </c>
      <c r="H27" s="5"/>
    </row>
  </sheetData>
  <mergeCells count="4">
    <mergeCell ref="A1:H1"/>
    <mergeCell ref="A2:H2"/>
    <mergeCell ref="A13:H13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40"/>
    <col collapsed="false" customWidth="true" hidden="false" outlineLevel="0" max="6" min="5" style="0" width="42"/>
  </cols>
  <sheetData>
    <row r="1" customFormat="false" ht="30" hidden="false" customHeight="true" outlineLevel="0" collapsed="false">
      <c r="A1" s="7" t="s">
        <v>102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108</v>
      </c>
    </row>
    <row r="4" customFormat="false" ht="23.85" hidden="false" customHeight="false" outlineLevel="0" collapsed="false">
      <c r="A4" s="12" t="s">
        <v>109</v>
      </c>
      <c r="B4" s="4" t="n">
        <v>56</v>
      </c>
      <c r="C4" s="4" t="n">
        <f aca="false">B4/87</f>
        <v>0.64367816091954</v>
      </c>
      <c r="D4" s="13" t="s">
        <v>110</v>
      </c>
      <c r="E4" s="13" t="s">
        <v>111</v>
      </c>
      <c r="F4" s="13" t="s">
        <v>112</v>
      </c>
    </row>
    <row r="5" customFormat="false" ht="23.85" hidden="false" customHeight="false" outlineLevel="0" collapsed="false">
      <c r="A5" s="4" t="s">
        <v>113</v>
      </c>
      <c r="B5" s="4" t="n">
        <v>16</v>
      </c>
      <c r="C5" s="4" t="n">
        <f aca="false">B5/87</f>
        <v>0.183908045977012</v>
      </c>
      <c r="D5" s="13" t="s">
        <v>114</v>
      </c>
      <c r="E5" s="13" t="s">
        <v>115</v>
      </c>
      <c r="F5" s="13" t="s">
        <v>116</v>
      </c>
    </row>
    <row r="6" customFormat="false" ht="23.85" hidden="false" customHeight="false" outlineLevel="0" collapsed="false">
      <c r="A6" s="4" t="s">
        <v>117</v>
      </c>
      <c r="B6" s="4" t="n">
        <v>15</v>
      </c>
      <c r="C6" s="4" t="n">
        <f aca="false">B6/87</f>
        <v>0.172413793103448</v>
      </c>
      <c r="D6" s="13" t="s">
        <v>118</v>
      </c>
      <c r="E6" s="13" t="s">
        <v>119</v>
      </c>
      <c r="F6" s="13" t="s">
        <v>120</v>
      </c>
    </row>
    <row r="7" customFormat="false" ht="15" hidden="false" customHeight="false" outlineLevel="0" collapsed="false">
      <c r="A7" s="14" t="s">
        <v>121</v>
      </c>
      <c r="B7" s="14" t="n">
        <f aca="false">SUM(B4:B6)</f>
        <v>87</v>
      </c>
      <c r="C7" s="14" t="n">
        <f aca="false">SUM(C4:C6)</f>
        <v>1</v>
      </c>
      <c r="D7" s="15"/>
      <c r="E7" s="15"/>
      <c r="F7" s="15"/>
    </row>
    <row r="10" customFormat="false" ht="15" hidden="false" customHeight="false" outlineLevel="0" collapsed="false">
      <c r="A10" s="16" t="s">
        <v>122</v>
      </c>
      <c r="B10" s="16"/>
      <c r="C10" s="16"/>
      <c r="D10" s="16"/>
      <c r="E10" s="16"/>
      <c r="F10" s="16"/>
    </row>
    <row r="11" customFormat="false" ht="23.85" hidden="false" customHeight="false" outlineLevel="0" collapsed="false">
      <c r="A11" s="11" t="s">
        <v>123</v>
      </c>
      <c r="B11" s="11" t="s">
        <v>124</v>
      </c>
      <c r="C11" s="11" t="s">
        <v>125</v>
      </c>
      <c r="D11" s="11" t="s">
        <v>126</v>
      </c>
      <c r="E11" s="11" t="s">
        <v>127</v>
      </c>
      <c r="F11" s="11" t="s">
        <v>128</v>
      </c>
    </row>
    <row r="12" customFormat="false" ht="23.85" hidden="false" customHeight="false" outlineLevel="0" collapsed="false">
      <c r="A12" s="17" t="n">
        <v>1</v>
      </c>
      <c r="B12" s="17" t="s">
        <v>129</v>
      </c>
      <c r="C12" s="17" t="s">
        <v>130</v>
      </c>
      <c r="D12" s="17" t="s">
        <v>130</v>
      </c>
      <c r="E12" s="17" t="n">
        <v>0.5</v>
      </c>
      <c r="F12" s="18" t="s">
        <v>131</v>
      </c>
    </row>
    <row r="13" customFormat="false" ht="23.85" hidden="false" customHeight="false" outlineLevel="0" collapsed="false">
      <c r="A13" s="17" t="n">
        <v>2</v>
      </c>
      <c r="B13" s="17" t="s">
        <v>132</v>
      </c>
      <c r="C13" s="17" t="s">
        <v>133</v>
      </c>
      <c r="D13" s="17" t="s">
        <v>133</v>
      </c>
      <c r="E13" s="17" t="n">
        <v>0.5</v>
      </c>
      <c r="F13" s="18" t="s">
        <v>134</v>
      </c>
    </row>
    <row r="14" customFormat="false" ht="23.85" hidden="false" customHeight="false" outlineLevel="0" collapsed="false">
      <c r="A14" s="17" t="n">
        <v>3</v>
      </c>
      <c r="B14" s="17" t="s">
        <v>135</v>
      </c>
      <c r="C14" s="17" t="s">
        <v>136</v>
      </c>
      <c r="D14" s="17" t="s">
        <v>136</v>
      </c>
      <c r="E14" s="17" t="n">
        <v>0.5</v>
      </c>
      <c r="F14" s="18" t="s">
        <v>137</v>
      </c>
    </row>
    <row r="15" customFormat="false" ht="23.85" hidden="false" customHeight="false" outlineLevel="0" collapsed="false">
      <c r="A15" s="17" t="n">
        <v>4</v>
      </c>
      <c r="B15" s="17" t="s">
        <v>138</v>
      </c>
      <c r="C15" s="17" t="s">
        <v>139</v>
      </c>
      <c r="D15" s="17" t="s">
        <v>139</v>
      </c>
      <c r="E15" s="17" t="n">
        <v>0.5</v>
      </c>
      <c r="F15" s="18" t="s">
        <v>140</v>
      </c>
    </row>
    <row r="16" customFormat="false" ht="23.85" hidden="false" customHeight="false" outlineLevel="0" collapsed="false">
      <c r="A16" s="17" t="n">
        <v>5</v>
      </c>
      <c r="B16" s="17" t="s">
        <v>141</v>
      </c>
      <c r="C16" s="17" t="s">
        <v>142</v>
      </c>
      <c r="D16" s="17" t="s">
        <v>142</v>
      </c>
      <c r="E16" s="17" t="n">
        <v>0.5</v>
      </c>
      <c r="F16" s="18" t="s">
        <v>143</v>
      </c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4" min="3" style="0" width="40"/>
  </cols>
  <sheetData>
    <row r="1" customFormat="false" ht="34.5" hidden="false" customHeight="true" outlineLevel="0" collapsed="false">
      <c r="A1" s="19" t="s">
        <v>144</v>
      </c>
      <c r="B1" s="19"/>
      <c r="C1" s="19"/>
      <c r="D1" s="19"/>
    </row>
    <row r="3" customFormat="false" ht="45" hidden="false" customHeight="true" outlineLevel="0" collapsed="false">
      <c r="A3" s="20" t="s">
        <v>145</v>
      </c>
      <c r="B3" s="20" t="s">
        <v>146</v>
      </c>
      <c r="C3" s="20" t="s">
        <v>147</v>
      </c>
      <c r="D3" s="20" t="s">
        <v>148</v>
      </c>
    </row>
    <row r="4" customFormat="false" ht="45" hidden="false" customHeight="true" outlineLevel="0" collapsed="false">
      <c r="A4" s="13" t="s">
        <v>149</v>
      </c>
      <c r="B4" s="13" t="s">
        <v>150</v>
      </c>
      <c r="C4" s="13" t="s">
        <v>151</v>
      </c>
      <c r="D4" s="13" t="s">
        <v>152</v>
      </c>
    </row>
    <row r="5" customFormat="false" ht="45" hidden="false" customHeight="true" outlineLevel="0" collapsed="false">
      <c r="A5" s="21" t="s">
        <v>153</v>
      </c>
      <c r="B5" s="21" t="s">
        <v>154</v>
      </c>
      <c r="C5" s="21" t="s">
        <v>155</v>
      </c>
      <c r="D5" s="21" t="s">
        <v>156</v>
      </c>
    </row>
    <row r="6" customFormat="false" ht="45" hidden="false" customHeight="true" outlineLevel="0" collapsed="false">
      <c r="A6" s="13" t="s">
        <v>157</v>
      </c>
      <c r="B6" s="13" t="s">
        <v>158</v>
      </c>
      <c r="C6" s="13" t="s">
        <v>159</v>
      </c>
      <c r="D6" s="13" t="s">
        <v>160</v>
      </c>
    </row>
    <row r="7" customFormat="false" ht="45" hidden="false" customHeight="true" outlineLevel="0" collapsed="false">
      <c r="A7" s="21" t="s">
        <v>161</v>
      </c>
      <c r="B7" s="21" t="s">
        <v>162</v>
      </c>
      <c r="C7" s="21" t="s">
        <v>163</v>
      </c>
      <c r="D7" s="21" t="s">
        <v>164</v>
      </c>
    </row>
    <row r="8" customFormat="false" ht="45" hidden="false" customHeight="true" outlineLevel="0" collapsed="false">
      <c r="A8" s="13" t="s">
        <v>165</v>
      </c>
      <c r="B8" s="13" t="s">
        <v>166</v>
      </c>
      <c r="C8" s="13" t="s">
        <v>167</v>
      </c>
      <c r="D8" s="13" t="s">
        <v>168</v>
      </c>
    </row>
    <row r="9" customFormat="false" ht="45" hidden="false" customHeight="true" outlineLevel="0" collapsed="false">
      <c r="A9" s="21" t="s">
        <v>169</v>
      </c>
      <c r="B9" s="21" t="s">
        <v>170</v>
      </c>
      <c r="C9" s="21" t="s">
        <v>171</v>
      </c>
      <c r="D9" s="21" t="s">
        <v>172</v>
      </c>
    </row>
    <row r="10" customFormat="false" ht="45" hidden="false" customHeight="true" outlineLevel="0" collapsed="false">
      <c r="A10" s="13" t="s">
        <v>173</v>
      </c>
      <c r="B10" s="13" t="s">
        <v>174</v>
      </c>
      <c r="C10" s="13" t="s">
        <v>175</v>
      </c>
      <c r="D10" s="13" t="s">
        <v>176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2026-03-18T01:21:43Z</dcterms:created>
  <dc:creator>openpyxl</dc:creator>
  <dc:description/>
  <dc:language>en-US</dc:language>
  <cp:lastModifiedBy/>
  <dcterms:modified xsi:type="dcterms:W3CDTF">2026-03-18T01:21:43Z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