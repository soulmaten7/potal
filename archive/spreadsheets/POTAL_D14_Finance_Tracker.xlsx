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W22B_NoCostChange" sheetId="1" state="visible" r:id="rId1"/>
    <sheet name="CW21_20260328" sheetId="2" state="visible" r:id="rId2"/>
    <sheet name="Monthly Costs" sheetId="3" state="visible" r:id="rId3"/>
    <sheet name="Revenue" sheetId="4" state="visible" r:id="rId4"/>
    <sheet name="Division Log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.00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2B5797"/>
      <sz val="14"/>
    </font>
    <font>
      <name val="Cambria"/>
      <charset val="1"/>
      <family val="0"/>
      <i val="1"/>
      <color rgb="FF666666"/>
      <sz val="9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color rgb="FF0000FF"/>
      <sz val="11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0000"/>
      <sz val="11"/>
    </font>
    <font>
      <name val="DejaVu Sans"/>
      <family val="2"/>
      <b val="1"/>
      <color rgb="FF2B5797"/>
      <sz val="14"/>
    </font>
    <font>
      <name val="DejaVu Sans"/>
      <family val="2"/>
      <color theme="1"/>
      <sz val="11"/>
    </font>
    <font>
      <name val="Cambria"/>
      <charset val="1"/>
      <family val="0"/>
      <color rgb="FF0080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2B5797"/>
        <bgColor rgb="FF0066CC"/>
      </patternFill>
    </fill>
    <fill>
      <patternFill patternType="solid">
        <fgColor rgb="FFE2EFDA"/>
        <bgColor rgb="FF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0" fillId="0" borderId="0" pivotButton="0" quotePrefix="0" xfId="0"/>
    <xf numFmtId="0" fontId="13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B5797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style="14" min="1" max="1"/>
    <col width="70" customWidth="1" style="14" min="2" max="2"/>
  </cols>
  <sheetData>
    <row r="1">
      <c r="A1" s="15" t="inlineStr">
        <is>
          <t>항목</t>
        </is>
      </c>
      <c r="B1" s="15" t="inlineStr">
        <is>
          <t>내용</t>
        </is>
      </c>
    </row>
    <row r="2">
      <c r="A2" t="inlineStr">
        <is>
          <t>날짜</t>
        </is>
      </c>
      <c r="B2" t="inlineStr">
        <is>
          <t>2026-03-29 21:00 KST</t>
        </is>
      </c>
    </row>
    <row r="3">
      <c r="A3" t="inlineStr">
        <is>
          <t>추가 비용</t>
        </is>
      </c>
      <c r="B3" t="inlineStr">
        <is>
          <t>없음 — Supabase Auth 기본 기능 활용</t>
        </is>
      </c>
    </row>
    <row r="4">
      <c r="A4" t="inlineStr">
        <is>
          <t>인프라 비용</t>
        </is>
      </c>
      <c r="B4" t="inlineStr">
        <is>
          <t>변동 없음: 고정 ~$114/월, 100만건 ~$140/월</t>
        </is>
      </c>
    </row>
    <row r="5">
      <c r="A5" t="inlineStr">
        <is>
          <t>비고</t>
        </is>
      </c>
      <c r="B5" t="inlineStr">
        <is>
          <t>이메일 인증은 Supabase Auth 내장 기능, 추가 과금 없음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2" customWidth="1" style="14" min="1" max="1"/>
    <col width="25" customWidth="1" style="14" min="2" max="2"/>
    <col width="60" customWidth="1" style="14" min="3" max="3"/>
    <col width="40" customWidth="1" style="14" min="4" max="4"/>
  </cols>
  <sheetData>
    <row r="1">
      <c r="A1" s="15" t="inlineStr">
        <is>
          <t>시간</t>
        </is>
      </c>
      <c r="B1" s="15" t="inlineStr">
        <is>
          <t>항목</t>
        </is>
      </c>
      <c r="C1" s="15" t="inlineStr">
        <is>
          <t>내용</t>
        </is>
      </c>
      <c r="D1" s="15" t="inlineStr">
        <is>
          <t>영향</t>
        </is>
      </c>
    </row>
    <row r="2">
      <c r="A2" s="16" t="inlineStr">
        <is>
          <t>2026-03-28 23:30 KST</t>
        </is>
      </c>
      <c r="B2" s="16" t="inlineStr">
        <is>
          <t>v3 파이프라인 완성</t>
        </is>
      </c>
      <c r="C2" s="16" t="inlineStr">
        <is>
          <t>AI 0회 → API 호출당 비용 $0</t>
        </is>
      </c>
      <c r="D2" s="16" t="inlineStr">
        <is>
          <t>수익 구조: API 비용 0, 순수 SaaS 마진</t>
        </is>
      </c>
    </row>
    <row r="3">
      <c r="A3" s="16" t="inlineStr">
        <is>
          <t>2026-03-28 23:30 KST</t>
        </is>
      </c>
      <c r="B3" s="16" t="inlineStr">
        <is>
          <t>인프라 비용 변동</t>
        </is>
      </c>
      <c r="C3" s="16" t="inlineStr">
        <is>
          <t>없음 — 코드 기반, 추가 인프라 불필요</t>
        </is>
      </c>
      <c r="D3" s="16" t="inlineStr">
        <is>
          <t>Vercel $20 + Supabase $25 유지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P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6" customWidth="1" style="16" min="1" max="1"/>
    <col width="20" customWidth="1" style="16" min="2" max="3"/>
    <col width="14" customWidth="1" style="16" min="4" max="4"/>
    <col width="10" customWidth="1" style="16" min="5" max="16"/>
  </cols>
  <sheetData>
    <row r="1" ht="17.35" customHeight="1" s="14">
      <c r="A1" s="17" t="inlineStr">
        <is>
          <t>POTAL — D14 Finance: Monthly Cost Tracker</t>
        </is>
      </c>
    </row>
    <row r="2" ht="15" customHeight="1" s="14">
      <c r="A2" s="18" t="inlineStr">
        <is>
          <t>Last Updated: 2026-03-11 15:01 KST</t>
        </is>
      </c>
    </row>
    <row r="4" ht="15" customHeight="1" s="14">
      <c r="A4" s="19" t="inlineStr">
        <is>
          <t>Category</t>
        </is>
      </c>
      <c r="B4" s="19" t="inlineStr">
        <is>
          <t>Service</t>
        </is>
      </c>
      <c r="C4" s="19" t="inlineStr">
        <is>
          <t>Plan</t>
        </is>
      </c>
      <c r="D4" s="19" t="inlineStr">
        <is>
          <t>Monthly ($)</t>
        </is>
      </c>
      <c r="E4" s="19" t="inlineStr">
        <is>
          <t>Jan</t>
        </is>
      </c>
      <c r="F4" s="19" t="inlineStr">
        <is>
          <t>Feb</t>
        </is>
      </c>
      <c r="G4" s="19" t="inlineStr">
        <is>
          <t>Mar</t>
        </is>
      </c>
      <c r="H4" s="19" t="inlineStr">
        <is>
          <t>Apr</t>
        </is>
      </c>
      <c r="I4" s="19" t="inlineStr">
        <is>
          <t>May</t>
        </is>
      </c>
      <c r="J4" s="19" t="inlineStr">
        <is>
          <t>Jun</t>
        </is>
      </c>
      <c r="K4" s="19" t="inlineStr">
        <is>
          <t>Jul</t>
        </is>
      </c>
      <c r="L4" s="19" t="inlineStr">
        <is>
          <t>Aug</t>
        </is>
      </c>
      <c r="M4" s="19" t="inlineStr">
        <is>
          <t>Sep</t>
        </is>
      </c>
      <c r="N4" s="19" t="inlineStr">
        <is>
          <t>Oct</t>
        </is>
      </c>
      <c r="O4" s="19" t="inlineStr">
        <is>
          <t>Nov</t>
        </is>
      </c>
      <c r="P4" s="19" t="inlineStr">
        <is>
          <t>Dec</t>
        </is>
      </c>
    </row>
    <row r="5" ht="15" customHeight="1" s="14">
      <c r="A5" s="20" t="inlineStr">
        <is>
          <t>Infrastructure</t>
        </is>
      </c>
      <c r="B5" s="20" t="inlineStr">
        <is>
          <t>Vercel</t>
        </is>
      </c>
      <c r="C5" s="20" t="inlineStr">
        <is>
          <t>Pro</t>
        </is>
      </c>
      <c r="D5" s="21" t="n">
        <v>20</v>
      </c>
      <c r="E5" s="22">
        <f>D5</f>
        <v/>
      </c>
      <c r="F5" s="22">
        <f>D5</f>
        <v/>
      </c>
      <c r="G5" s="22">
        <f>D5</f>
        <v/>
      </c>
      <c r="H5" s="22">
        <f>D5</f>
        <v/>
      </c>
      <c r="I5" s="22">
        <f>D5</f>
        <v/>
      </c>
      <c r="J5" s="22">
        <f>D5</f>
        <v/>
      </c>
      <c r="K5" s="22">
        <f>D5</f>
        <v/>
      </c>
      <c r="L5" s="22">
        <f>D5</f>
        <v/>
      </c>
      <c r="M5" s="22">
        <f>D5</f>
        <v/>
      </c>
      <c r="N5" s="22">
        <f>D5</f>
        <v/>
      </c>
      <c r="O5" s="22">
        <f>D5</f>
        <v/>
      </c>
      <c r="P5" s="22">
        <f>D5</f>
        <v/>
      </c>
    </row>
    <row r="6" ht="15" customHeight="1" s="14">
      <c r="A6" s="20" t="inlineStr">
        <is>
          <t>Infrastructure</t>
        </is>
      </c>
      <c r="B6" s="20" t="inlineStr">
        <is>
          <t>Supabase</t>
        </is>
      </c>
      <c r="C6" s="20" t="inlineStr">
        <is>
          <t>Pro</t>
        </is>
      </c>
      <c r="D6" s="21" t="n">
        <v>25</v>
      </c>
      <c r="E6" s="22">
        <f>D6</f>
        <v/>
      </c>
      <c r="F6" s="22">
        <f>D6</f>
        <v/>
      </c>
      <c r="G6" s="22">
        <f>D6</f>
        <v/>
      </c>
      <c r="H6" s="22">
        <f>D6</f>
        <v/>
      </c>
      <c r="I6" s="22">
        <f>D6</f>
        <v/>
      </c>
      <c r="J6" s="22">
        <f>D6</f>
        <v/>
      </c>
      <c r="K6" s="22">
        <f>D6</f>
        <v/>
      </c>
      <c r="L6" s="22">
        <f>D6</f>
        <v/>
      </c>
      <c r="M6" s="22">
        <f>D6</f>
        <v/>
      </c>
      <c r="N6" s="22">
        <f>D6</f>
        <v/>
      </c>
      <c r="O6" s="22">
        <f>D6</f>
        <v/>
      </c>
      <c r="P6" s="22">
        <f>D6</f>
        <v/>
      </c>
    </row>
    <row r="7" ht="15" customHeight="1" s="14">
      <c r="A7" s="20" t="inlineStr">
        <is>
          <t>Infrastructure</t>
        </is>
      </c>
      <c r="B7" s="20" t="inlineStr">
        <is>
          <t>Domain (potal.app)</t>
        </is>
      </c>
      <c r="C7" s="20" t="inlineStr">
        <is>
          <t>Annual</t>
        </is>
      </c>
      <c r="D7" s="21" t="n">
        <v>1</v>
      </c>
      <c r="E7" s="22">
        <f>D7</f>
        <v/>
      </c>
      <c r="F7" s="22">
        <f>D7</f>
        <v/>
      </c>
      <c r="G7" s="22">
        <f>D7</f>
        <v/>
      </c>
      <c r="H7" s="22">
        <f>D7</f>
        <v/>
      </c>
      <c r="I7" s="22">
        <f>D7</f>
        <v/>
      </c>
      <c r="J7" s="22">
        <f>D7</f>
        <v/>
      </c>
      <c r="K7" s="22">
        <f>D7</f>
        <v/>
      </c>
      <c r="L7" s="22">
        <f>D7</f>
        <v/>
      </c>
      <c r="M7" s="22">
        <f>D7</f>
        <v/>
      </c>
      <c r="N7" s="22">
        <f>D7</f>
        <v/>
      </c>
      <c r="O7" s="22">
        <f>D7</f>
        <v/>
      </c>
      <c r="P7" s="22">
        <f>D7</f>
        <v/>
      </c>
    </row>
    <row r="8" ht="15" customHeight="1" s="14">
      <c r="A8" s="20" t="inlineStr">
        <is>
          <t>Payments</t>
        </is>
      </c>
      <c r="B8" s="20" t="inlineStr">
        <is>
          <t>Paddle</t>
        </is>
      </c>
      <c r="C8" s="20" t="inlineStr">
        <is>
          <t>MoR (5%+$0.50/tx)</t>
        </is>
      </c>
      <c r="D8" s="21" t="n">
        <v>0</v>
      </c>
      <c r="E8" s="22">
        <f>D8</f>
        <v/>
      </c>
      <c r="F8" s="22">
        <f>D8</f>
        <v/>
      </c>
      <c r="G8" s="22">
        <f>D8</f>
        <v/>
      </c>
      <c r="H8" s="22">
        <f>D8</f>
        <v/>
      </c>
      <c r="I8" s="22">
        <f>D8</f>
        <v/>
      </c>
      <c r="J8" s="22">
        <f>D8</f>
        <v/>
      </c>
      <c r="K8" s="22">
        <f>D8</f>
        <v/>
      </c>
      <c r="L8" s="22">
        <f>D8</f>
        <v/>
      </c>
      <c r="M8" s="22">
        <f>D8</f>
        <v/>
      </c>
      <c r="N8" s="22">
        <f>D8</f>
        <v/>
      </c>
      <c r="O8" s="22">
        <f>D8</f>
        <v/>
      </c>
      <c r="P8" s="22">
        <f>D8</f>
        <v/>
      </c>
    </row>
    <row r="9" ht="15" customHeight="1" s="14">
      <c r="A9" s="20" t="inlineStr">
        <is>
          <t>Support</t>
        </is>
      </c>
      <c r="B9" s="20" t="inlineStr">
        <is>
          <t>Crisp</t>
        </is>
      </c>
      <c r="C9" s="20" t="inlineStr">
        <is>
          <t>Free</t>
        </is>
      </c>
      <c r="D9" s="21" t="n">
        <v>0</v>
      </c>
      <c r="E9" s="22">
        <f>D9</f>
        <v/>
      </c>
      <c r="F9" s="22">
        <f>D9</f>
        <v/>
      </c>
      <c r="G9" s="22">
        <f>D9</f>
        <v/>
      </c>
      <c r="H9" s="22">
        <f>D9</f>
        <v/>
      </c>
      <c r="I9" s="22">
        <f>D9</f>
        <v/>
      </c>
      <c r="J9" s="22">
        <f>D9</f>
        <v/>
      </c>
      <c r="K9" s="22">
        <f>D9</f>
        <v/>
      </c>
      <c r="L9" s="22">
        <f>D9</f>
        <v/>
      </c>
      <c r="M9" s="22">
        <f>D9</f>
        <v/>
      </c>
      <c r="N9" s="22">
        <f>D9</f>
        <v/>
      </c>
      <c r="O9" s="22">
        <f>D9</f>
        <v/>
      </c>
      <c r="P9" s="22">
        <f>D9</f>
        <v/>
      </c>
    </row>
    <row r="10" ht="15" customHeight="1" s="14">
      <c r="A10" s="20" t="inlineStr">
        <is>
          <t>Automation</t>
        </is>
      </c>
      <c r="B10" s="20" t="inlineStr">
        <is>
          <t>Make.com</t>
        </is>
      </c>
      <c r="C10" s="20" t="inlineStr">
        <is>
          <t>Free</t>
        </is>
      </c>
      <c r="D10" s="21" t="n">
        <v>0</v>
      </c>
      <c r="E10" s="22">
        <f>D10</f>
        <v/>
      </c>
      <c r="F10" s="22">
        <f>D10</f>
        <v/>
      </c>
      <c r="G10" s="22">
        <f>D10</f>
        <v/>
      </c>
      <c r="H10" s="22">
        <f>D10</f>
        <v/>
      </c>
      <c r="I10" s="22">
        <f>D10</f>
        <v/>
      </c>
      <c r="J10" s="22">
        <f>D10</f>
        <v/>
      </c>
      <c r="K10" s="22">
        <f>D10</f>
        <v/>
      </c>
      <c r="L10" s="22">
        <f>D10</f>
        <v/>
      </c>
      <c r="M10" s="22">
        <f>D10</f>
        <v/>
      </c>
      <c r="N10" s="22">
        <f>D10</f>
        <v/>
      </c>
      <c r="O10" s="22">
        <f>D10</f>
        <v/>
      </c>
      <c r="P10" s="22">
        <f>D10</f>
        <v/>
      </c>
    </row>
    <row r="11" ht="15" customHeight="1" s="14">
      <c r="A11" s="20" t="inlineStr">
        <is>
          <t>Marketing</t>
        </is>
      </c>
      <c r="B11" s="20" t="inlineStr">
        <is>
          <t>LinkedIn</t>
        </is>
      </c>
      <c r="C11" s="20" t="inlineStr">
        <is>
          <t>Free</t>
        </is>
      </c>
      <c r="D11" s="21" t="n">
        <v>0</v>
      </c>
      <c r="E11" s="22">
        <f>D11</f>
        <v/>
      </c>
      <c r="F11" s="22">
        <f>D11</f>
        <v/>
      </c>
      <c r="G11" s="22">
        <f>D11</f>
        <v/>
      </c>
      <c r="H11" s="22">
        <f>D11</f>
        <v/>
      </c>
      <c r="I11" s="22">
        <f>D11</f>
        <v/>
      </c>
      <c r="J11" s="22">
        <f>D11</f>
        <v/>
      </c>
      <c r="K11" s="22">
        <f>D11</f>
        <v/>
      </c>
      <c r="L11" s="22">
        <f>D11</f>
        <v/>
      </c>
      <c r="M11" s="22">
        <f>D11</f>
        <v/>
      </c>
      <c r="N11" s="22">
        <f>D11</f>
        <v/>
      </c>
      <c r="O11" s="22">
        <f>D11</f>
        <v/>
      </c>
      <c r="P11" s="22">
        <f>D11</f>
        <v/>
      </c>
    </row>
    <row r="12" ht="15" customHeight="1" s="14">
      <c r="A12" s="20" t="inlineStr">
        <is>
          <t>Legal</t>
        </is>
      </c>
      <c r="B12" s="20" t="inlineStr">
        <is>
          <t>Google Calendar</t>
        </is>
      </c>
      <c r="C12" s="20" t="inlineStr">
        <is>
          <t>Free</t>
        </is>
      </c>
      <c r="D12" s="21" t="n">
        <v>0</v>
      </c>
      <c r="E12" s="22">
        <f>D12</f>
        <v/>
      </c>
      <c r="F12" s="22">
        <f>D12</f>
        <v/>
      </c>
      <c r="G12" s="22">
        <f>D12</f>
        <v/>
      </c>
      <c r="H12" s="22">
        <f>D12</f>
        <v/>
      </c>
      <c r="I12" s="22">
        <f>D12</f>
        <v/>
      </c>
      <c r="J12" s="22">
        <f>D12</f>
        <v/>
      </c>
      <c r="K12" s="22">
        <f>D12</f>
        <v/>
      </c>
      <c r="L12" s="22">
        <f>D12</f>
        <v/>
      </c>
      <c r="M12" s="22">
        <f>D12</f>
        <v/>
      </c>
      <c r="N12" s="22">
        <f>D12</f>
        <v/>
      </c>
      <c r="O12" s="22">
        <f>D12</f>
        <v/>
      </c>
      <c r="P12" s="22">
        <f>D12</f>
        <v/>
      </c>
    </row>
    <row r="13" ht="15" customHeight="1" s="14">
      <c r="A13" s="23" t="inlineStr">
        <is>
          <t>TOTAL</t>
        </is>
      </c>
      <c r="D13" s="24">
        <f>SUM(D5:D12)</f>
        <v/>
      </c>
      <c r="E13" s="24">
        <f>SUM(E5:E12)</f>
        <v/>
      </c>
      <c r="F13" s="24">
        <f>SUM(F5:F12)</f>
        <v/>
      </c>
      <c r="G13" s="24">
        <f>SUM(G5:G12)</f>
        <v/>
      </c>
      <c r="H13" s="24">
        <f>SUM(H5:H12)</f>
        <v/>
      </c>
      <c r="I13" s="24">
        <f>SUM(I5:I12)</f>
        <v/>
      </c>
      <c r="J13" s="24">
        <f>SUM(J5:J12)</f>
        <v/>
      </c>
      <c r="K13" s="24">
        <f>SUM(K5:K12)</f>
        <v/>
      </c>
      <c r="L13" s="24">
        <f>SUM(L5:L12)</f>
        <v/>
      </c>
      <c r="M13" s="24">
        <f>SUM(M5:M12)</f>
        <v/>
      </c>
      <c r="N13" s="24">
        <f>SUM(N5:N12)</f>
        <v/>
      </c>
      <c r="O13" s="24">
        <f>SUM(O5:O12)</f>
        <v/>
      </c>
      <c r="P13" s="24">
        <f>SUM(P5:P12)</f>
        <v/>
      </c>
    </row>
    <row r="14" ht="15" customHeight="1" s="14">
      <c r="A14" s="23" t="inlineStr">
        <is>
          <t>Annual Total</t>
        </is>
      </c>
      <c r="D14" s="25">
        <f>D13*12</f>
        <v/>
      </c>
    </row>
  </sheetData>
  <mergeCells count="1"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6" customWidth="1" style="16" min="1" max="8"/>
  </cols>
  <sheetData>
    <row r="1" ht="17.35" customHeight="1" s="14">
      <c r="A1" s="17" t="inlineStr">
        <is>
          <t>POTAL — Revenue Tracker</t>
        </is>
      </c>
    </row>
    <row r="2" ht="15" customHeight="1" s="14">
      <c r="A2" s="18" t="inlineStr">
        <is>
          <t>Last Updated: 2026-03-11 15:01 KST</t>
        </is>
      </c>
    </row>
    <row r="4" ht="15" customHeight="1" s="14">
      <c r="A4" s="19" t="inlineStr">
        <is>
          <t>Month</t>
        </is>
      </c>
      <c r="B4" s="19" t="inlineStr">
        <is>
          <t>Free Users</t>
        </is>
      </c>
      <c r="C4" s="19" t="inlineStr">
        <is>
          <t>Basic ($20)</t>
        </is>
      </c>
      <c r="D4" s="19" t="inlineStr">
        <is>
          <t>Pro ($80)</t>
        </is>
      </c>
      <c r="E4" s="19" t="inlineStr">
        <is>
          <t>Enterprise ($300)</t>
        </is>
      </c>
      <c r="F4" s="19" t="inlineStr">
        <is>
          <t>MRR ($)</t>
        </is>
      </c>
      <c r="G4" s="19" t="inlineStr">
        <is>
          <t>Overage ($)</t>
        </is>
      </c>
      <c r="H4" s="19" t="inlineStr">
        <is>
          <t>Total Revenue ($)</t>
        </is>
      </c>
    </row>
    <row r="5" ht="15" customHeight="1" s="14">
      <c r="A5" s="20" t="inlineStr">
        <is>
          <t>2026-03</t>
        </is>
      </c>
      <c r="B5" s="26" t="n">
        <v>0</v>
      </c>
      <c r="C5" s="26" t="n">
        <v>0</v>
      </c>
      <c r="D5" s="26" t="n">
        <v>0</v>
      </c>
      <c r="E5" s="26" t="n">
        <v>0</v>
      </c>
      <c r="F5" s="22">
        <f>(C5*20)+(D5*80)+(E5*300)</f>
        <v/>
      </c>
      <c r="G5" s="21" t="n">
        <v>0</v>
      </c>
      <c r="H5" s="27">
        <f>F5+G5</f>
        <v/>
      </c>
    </row>
    <row r="6" ht="15" customHeight="1" s="14">
      <c r="A6" s="20" t="inlineStr">
        <is>
          <t>2026-04</t>
        </is>
      </c>
      <c r="B6" s="26" t="n">
        <v>0</v>
      </c>
      <c r="C6" s="26" t="n">
        <v>0</v>
      </c>
      <c r="D6" s="26" t="n">
        <v>0</v>
      </c>
      <c r="E6" s="26" t="n">
        <v>0</v>
      </c>
      <c r="F6" s="22">
        <f>(C6*20)+(D6*80)+(E6*300)</f>
        <v/>
      </c>
      <c r="G6" s="21" t="n">
        <v>0</v>
      </c>
      <c r="H6" s="27">
        <f>F6+G6</f>
        <v/>
      </c>
    </row>
    <row r="7" ht="15" customHeight="1" s="14">
      <c r="A7" s="20" t="inlineStr">
        <is>
          <t>2026-05</t>
        </is>
      </c>
      <c r="B7" s="26" t="n">
        <v>0</v>
      </c>
      <c r="C7" s="26" t="n">
        <v>0</v>
      </c>
      <c r="D7" s="26" t="n">
        <v>0</v>
      </c>
      <c r="E7" s="26" t="n">
        <v>0</v>
      </c>
      <c r="F7" s="22">
        <f>(C7*20)+(D7*80)+(E7*300)</f>
        <v/>
      </c>
      <c r="G7" s="21" t="n">
        <v>0</v>
      </c>
      <c r="H7" s="27">
        <f>F7+G7</f>
        <v/>
      </c>
    </row>
    <row r="8" ht="15" customHeight="1" s="14">
      <c r="A8" s="20" t="inlineStr">
        <is>
          <t>2026-06</t>
        </is>
      </c>
      <c r="B8" s="26" t="n">
        <v>0</v>
      </c>
      <c r="C8" s="26" t="n">
        <v>0</v>
      </c>
      <c r="D8" s="26" t="n">
        <v>0</v>
      </c>
      <c r="E8" s="26" t="n">
        <v>0</v>
      </c>
      <c r="F8" s="22">
        <f>(C8*20)+(D8*80)+(E8*300)</f>
        <v/>
      </c>
      <c r="G8" s="21" t="n">
        <v>0</v>
      </c>
      <c r="H8" s="27">
        <f>F8+G8</f>
        <v/>
      </c>
    </row>
    <row r="9" ht="15" customHeight="1" s="14">
      <c r="A9" s="20" t="inlineStr">
        <is>
          <t>2026-07</t>
        </is>
      </c>
      <c r="B9" s="26" t="n">
        <v>0</v>
      </c>
      <c r="C9" s="26" t="n">
        <v>0</v>
      </c>
      <c r="D9" s="26" t="n">
        <v>0</v>
      </c>
      <c r="E9" s="26" t="n">
        <v>0</v>
      </c>
      <c r="F9" s="22">
        <f>(C9*20)+(D9*80)+(E9*300)</f>
        <v/>
      </c>
      <c r="G9" s="21" t="n">
        <v>0</v>
      </c>
      <c r="H9" s="27">
        <f>F9+G9</f>
        <v/>
      </c>
    </row>
    <row r="10" ht="15" customHeight="1" s="14">
      <c r="A10" s="20" t="inlineStr">
        <is>
          <t>2026-08</t>
        </is>
      </c>
      <c r="B10" s="26" t="n">
        <v>0</v>
      </c>
      <c r="C10" s="26" t="n">
        <v>0</v>
      </c>
      <c r="D10" s="26" t="n">
        <v>0</v>
      </c>
      <c r="E10" s="26" t="n">
        <v>0</v>
      </c>
      <c r="F10" s="22">
        <f>(C10*20)+(D10*80)+(E10*300)</f>
        <v/>
      </c>
      <c r="G10" s="21" t="n">
        <v>0</v>
      </c>
      <c r="H10" s="27">
        <f>F10+G10</f>
        <v/>
      </c>
    </row>
    <row r="11" ht="15" customHeight="1" s="14">
      <c r="A11" s="20" t="inlineStr">
        <is>
          <t>2026-09</t>
        </is>
      </c>
      <c r="B11" s="26" t="n">
        <v>0</v>
      </c>
      <c r="C11" s="26" t="n">
        <v>0</v>
      </c>
      <c r="D11" s="26" t="n">
        <v>0</v>
      </c>
      <c r="E11" s="26" t="n">
        <v>0</v>
      </c>
      <c r="F11" s="22">
        <f>(C11*20)+(D11*80)+(E11*300)</f>
        <v/>
      </c>
      <c r="G11" s="21" t="n">
        <v>0</v>
      </c>
      <c r="H11" s="27">
        <f>F11+G11</f>
        <v/>
      </c>
    </row>
    <row r="12" ht="15" customHeight="1" s="14">
      <c r="A12" s="20" t="inlineStr">
        <is>
          <t>2026-10</t>
        </is>
      </c>
      <c r="B12" s="26" t="n">
        <v>0</v>
      </c>
      <c r="C12" s="26" t="n">
        <v>0</v>
      </c>
      <c r="D12" s="26" t="n">
        <v>0</v>
      </c>
      <c r="E12" s="26" t="n">
        <v>0</v>
      </c>
      <c r="F12" s="22">
        <f>(C12*20)+(D12*80)+(E12*300)</f>
        <v/>
      </c>
      <c r="G12" s="21" t="n">
        <v>0</v>
      </c>
      <c r="H12" s="27">
        <f>F12+G12</f>
        <v/>
      </c>
    </row>
    <row r="13" ht="15" customHeight="1" s="14">
      <c r="A13" s="20" t="inlineStr">
        <is>
          <t>2026-11</t>
        </is>
      </c>
      <c r="B13" s="26" t="n">
        <v>0</v>
      </c>
      <c r="C13" s="26" t="n">
        <v>0</v>
      </c>
      <c r="D13" s="26" t="n">
        <v>0</v>
      </c>
      <c r="E13" s="26" t="n">
        <v>0</v>
      </c>
      <c r="F13" s="22">
        <f>(C13*20)+(D13*80)+(E13*300)</f>
        <v/>
      </c>
      <c r="G13" s="21" t="n">
        <v>0</v>
      </c>
      <c r="H13" s="27">
        <f>F13+G13</f>
        <v/>
      </c>
    </row>
    <row r="14" ht="15" customHeight="1" s="14">
      <c r="A14" s="20" t="inlineStr">
        <is>
          <t>2026-12</t>
        </is>
      </c>
      <c r="B14" s="26" t="n">
        <v>0</v>
      </c>
      <c r="C14" s="26" t="n">
        <v>0</v>
      </c>
      <c r="D14" s="26" t="n">
        <v>0</v>
      </c>
      <c r="E14" s="26" t="n">
        <v>0</v>
      </c>
      <c r="F14" s="22">
        <f>(C14*20)+(D14*80)+(E14*300)</f>
        <v/>
      </c>
      <c r="G14" s="21" t="n">
        <v>0</v>
      </c>
      <c r="H14" s="27">
        <f>F14+G14</f>
        <v/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8" customWidth="1" style="16" min="1" max="1"/>
    <col width="16" customWidth="1" style="16" min="2" max="2"/>
    <col width="18" customWidth="1" style="16" min="3" max="3"/>
    <col width="10" customWidth="1" style="16" min="4" max="4"/>
    <col width="45" customWidth="1" style="16" min="5" max="5"/>
    <col width="20" customWidth="1" style="16" min="6" max="6"/>
  </cols>
  <sheetData>
    <row r="1" ht="17.9" customHeight="1" s="14">
      <c r="A1" s="17" t="inlineStr">
        <is>
          <t>POTAL — Division Update Log (날짜/시간 기록)</t>
        </is>
      </c>
    </row>
    <row r="2" ht="15" customHeight="1" s="14">
      <c r="A2" s="18" t="inlineStr">
        <is>
          <t>Last Updated: 2026-03-11 15:01 KST</t>
        </is>
      </c>
    </row>
    <row r="4" ht="15" customHeight="1" s="14">
      <c r="A4" s="19" t="inlineStr">
        <is>
          <t>Date/Time</t>
        </is>
      </c>
      <c r="B4" s="19" t="inlineStr">
        <is>
          <t>Division</t>
        </is>
      </c>
      <c r="C4" s="19" t="inlineStr">
        <is>
          <t>Action</t>
        </is>
      </c>
      <c r="D4" s="19" t="inlineStr">
        <is>
          <t>Status</t>
        </is>
      </c>
      <c r="E4" s="19" t="inlineStr">
        <is>
          <t>Details</t>
        </is>
      </c>
      <c r="F4" s="19" t="inlineStr">
        <is>
          <t>Updated By</t>
        </is>
      </c>
    </row>
    <row r="5" ht="15" customHeight="1" s="14">
      <c r="A5" s="20" t="inlineStr">
        <is>
          <t>2026-03-11 15:01</t>
        </is>
      </c>
      <c r="B5" s="20" t="inlineStr">
        <is>
          <t>D1 Tariff</t>
        </is>
      </c>
      <c r="C5" s="20" t="inlineStr">
        <is>
          <t>Layer 1 자동화</t>
        </is>
      </c>
      <c r="D5" s="28" t="inlineStr">
        <is>
          <t>✅</t>
        </is>
      </c>
      <c r="E5" s="20" t="inlineStr">
        <is>
          <t>trade-remedy-sync Cron 매주 월 06:30</t>
        </is>
      </c>
      <c r="F5" s="20" t="inlineStr">
        <is>
          <t>Claude Code</t>
        </is>
      </c>
    </row>
    <row r="6" ht="15" customHeight="1" s="14">
      <c r="A6" s="20" t="inlineStr">
        <is>
          <t>2026-03-11 15:01</t>
        </is>
      </c>
      <c r="B6" s="20" t="inlineStr">
        <is>
          <t>D2 Tax</t>
        </is>
      </c>
      <c r="C6" s="29" t="inlineStr">
        <is>
          <t>앱 내장</t>
        </is>
      </c>
      <c r="D6" s="28" t="inlineStr">
        <is>
          <t>✅</t>
        </is>
      </c>
      <c r="E6" s="20" t="inlineStr">
        <is>
          <t>GlobalCostEngine 자동 실행</t>
        </is>
      </c>
      <c r="F6" s="20" t="inlineStr">
        <is>
          <t>Built-in</t>
        </is>
      </c>
    </row>
    <row r="7" ht="15" customHeight="1" s="14">
      <c r="A7" s="20" t="inlineStr">
        <is>
          <t>2026-03-11 15:01</t>
        </is>
      </c>
      <c r="B7" s="20" t="inlineStr">
        <is>
          <t>D3 HS</t>
        </is>
      </c>
      <c r="C7" s="29" t="inlineStr">
        <is>
          <t>앱 내장</t>
        </is>
      </c>
      <c r="D7" s="28" t="inlineStr">
        <is>
          <t>✅</t>
        </is>
      </c>
      <c r="E7" s="20" t="inlineStr">
        <is>
          <t>ai-classifier 자동 실행</t>
        </is>
      </c>
      <c r="F7" s="20" t="inlineStr">
        <is>
          <t>Built-in</t>
        </is>
      </c>
    </row>
    <row r="8" ht="15" customHeight="1" s="14">
      <c r="A8" s="20" t="inlineStr">
        <is>
          <t>2026-03-11 15:01</t>
        </is>
      </c>
      <c r="B8" s="20" t="inlineStr">
        <is>
          <t>D4 Pipeline</t>
        </is>
      </c>
      <c r="C8" s="20" t="inlineStr">
        <is>
          <t>Layer 1 자동화</t>
        </is>
      </c>
      <c r="D8" s="28" t="inlineStr">
        <is>
          <t>✅</t>
        </is>
      </c>
      <c r="E8" s="20" t="inlineStr">
        <is>
          <t>gov-api-health Cron 매12시간</t>
        </is>
      </c>
      <c r="F8" s="20" t="inlineStr">
        <is>
          <t>Claude Code</t>
        </is>
      </c>
    </row>
    <row r="9" ht="15" customHeight="1" s="14">
      <c r="A9" s="20" t="inlineStr">
        <is>
          <t>2026-03-11 15:01</t>
        </is>
      </c>
      <c r="B9" s="20" t="inlineStr">
        <is>
          <t>D5 Web</t>
        </is>
      </c>
      <c r="C9" s="20" t="inlineStr">
        <is>
          <t>Layer 1 자동화</t>
        </is>
      </c>
      <c r="D9" s="28" t="inlineStr">
        <is>
          <t>✅</t>
        </is>
      </c>
      <c r="E9" s="20" t="inlineStr">
        <is>
          <t>uptime-check Cron 매6시간</t>
        </is>
      </c>
      <c r="F9" s="20" t="inlineStr">
        <is>
          <t>Claude Code</t>
        </is>
      </c>
    </row>
    <row r="10" ht="15" customHeight="1" s="14">
      <c r="A10" s="20" t="inlineStr">
        <is>
          <t>2026-03-11 15:01</t>
        </is>
      </c>
      <c r="B10" s="20" t="inlineStr">
        <is>
          <t>D6 Plugins</t>
        </is>
      </c>
      <c r="C10" s="20" t="inlineStr">
        <is>
          <t>Layer 1 자동화</t>
        </is>
      </c>
      <c r="D10" s="28" t="inlineStr">
        <is>
          <t>✅</t>
        </is>
      </c>
      <c r="E10" s="20" t="inlineStr">
        <is>
          <t>plugin-health Cron 매12시간</t>
        </is>
      </c>
      <c r="F10" s="20" t="inlineStr">
        <is>
          <t>Claude Code</t>
        </is>
      </c>
    </row>
    <row r="11" ht="15" customHeight="1" s="14">
      <c r="A11" s="20" t="inlineStr">
        <is>
          <t>2026-03-11 15:01</t>
        </is>
      </c>
      <c r="B11" s="20" t="inlineStr">
        <is>
          <t>D7 API</t>
        </is>
      </c>
      <c r="C11" s="29" t="inlineStr">
        <is>
          <t>앱 내장</t>
        </is>
      </c>
      <c r="D11" s="28" t="inlineStr">
        <is>
          <t>✅</t>
        </is>
      </c>
      <c r="E11" s="20" t="inlineStr">
        <is>
          <t>plan-checker, rate-limiter</t>
        </is>
      </c>
      <c r="F11" s="20" t="inlineStr">
        <is>
          <t>Built-in</t>
        </is>
      </c>
    </row>
    <row r="12" ht="15" customHeight="1" s="14">
      <c r="A12" s="20" t="inlineStr">
        <is>
          <t>2026-03-11 15:01</t>
        </is>
      </c>
      <c r="B12" s="20" t="inlineStr">
        <is>
          <t>D8 QA</t>
        </is>
      </c>
      <c r="C12" s="20" t="inlineStr">
        <is>
          <t>Layer 1 자동화</t>
        </is>
      </c>
      <c r="D12" s="28" t="inlineStr">
        <is>
          <t>✅</t>
        </is>
      </c>
      <c r="E12" s="20" t="inlineStr">
        <is>
          <t>spot-check Cron 매일 04:00</t>
        </is>
      </c>
      <c r="F12" s="20" t="inlineStr">
        <is>
          <t>Claude Code</t>
        </is>
      </c>
    </row>
    <row r="13" ht="15" customHeight="1" s="14">
      <c r="A13" s="20" t="inlineStr">
        <is>
          <t>2026-03-11 15:01</t>
        </is>
      </c>
      <c r="B13" s="20" t="inlineStr">
        <is>
          <t>D9 CS</t>
        </is>
      </c>
      <c r="C13" s="20" t="inlineStr">
        <is>
          <t>Layer 1 자동화</t>
        </is>
      </c>
      <c r="D13" s="28" t="inlineStr">
        <is>
          <t>✅</t>
        </is>
      </c>
      <c r="E13" s="20" t="inlineStr">
        <is>
          <t>FAQ 13개 + Crisp 채팅 위젯</t>
        </is>
      </c>
      <c r="F13" s="20" t="inlineStr">
        <is>
          <t>Claude Code</t>
        </is>
      </c>
    </row>
    <row r="14" ht="15" customHeight="1" s="14">
      <c r="A14" s="20" t="inlineStr">
        <is>
          <t>2026-03-11 15:01</t>
        </is>
      </c>
      <c r="B14" s="20" t="inlineStr">
        <is>
          <t>D10 Revenue</t>
        </is>
      </c>
      <c r="C14" s="29" t="inlineStr">
        <is>
          <t>앱 내장</t>
        </is>
      </c>
      <c r="D14" s="28" t="inlineStr">
        <is>
          <t>✅</t>
        </is>
      </c>
      <c r="E14" s="20" t="inlineStr">
        <is>
          <t>Paddle Webhook + Overage Cron</t>
        </is>
      </c>
      <c r="F14" s="20" t="inlineStr">
        <is>
          <t>Built-in</t>
        </is>
      </c>
    </row>
    <row r="15" ht="15" customHeight="1" s="14">
      <c r="A15" s="20" t="inlineStr">
        <is>
          <t>2026-03-11 15:01</t>
        </is>
      </c>
      <c r="B15" s="20" t="inlineStr">
        <is>
          <t>D11 Infra</t>
        </is>
      </c>
      <c r="C15" s="20" t="inlineStr">
        <is>
          <t>Layer 1 자동화</t>
        </is>
      </c>
      <c r="D15" s="28" t="inlineStr">
        <is>
          <t>✅</t>
        </is>
      </c>
      <c r="E15" s="20" t="inlineStr">
        <is>
          <t>health-check Cron 매6시간</t>
        </is>
      </c>
      <c r="F15" s="20" t="inlineStr">
        <is>
          <t>Claude Code</t>
        </is>
      </c>
    </row>
    <row r="16" ht="15" customHeight="1" s="14">
      <c r="A16" s="20" t="inlineStr">
        <is>
          <t>2026-03-11 15:01</t>
        </is>
      </c>
      <c r="B16" s="20" t="inlineStr">
        <is>
          <t>D12 Marketing</t>
        </is>
      </c>
      <c r="C16" s="20" t="inlineStr">
        <is>
          <t>Make.com 설정</t>
        </is>
      </c>
      <c r="D16" s="28" t="inlineStr">
        <is>
          <t>✅</t>
        </is>
      </c>
      <c r="E16" s="20" t="inlineStr">
        <is>
          <t>Welcome Email + LinkedIn 소셜공유</t>
        </is>
      </c>
      <c r="F16" s="29" t="inlineStr">
        <is>
          <t>은태님 (Cowork)</t>
        </is>
      </c>
    </row>
    <row r="17" ht="15" customHeight="1" s="14">
      <c r="A17" s="20" t="inlineStr">
        <is>
          <t>2026-03-11 15:01</t>
        </is>
      </c>
      <c r="B17" s="20" t="inlineStr">
        <is>
          <t>D13 Legal</t>
        </is>
      </c>
      <c r="C17" s="20" t="inlineStr">
        <is>
          <t>Calendar 설정</t>
        </is>
      </c>
      <c r="D17" s="28" t="inlineStr">
        <is>
          <t>✅</t>
        </is>
      </c>
      <c r="E17" s="20" t="inlineStr">
        <is>
          <t>Google Calendar 법률 리뷰 3개</t>
        </is>
      </c>
      <c r="F17" s="29" t="inlineStr">
        <is>
          <t>은태님 (Cowork)</t>
        </is>
      </c>
    </row>
    <row r="18" ht="15" customHeight="1" s="14">
      <c r="A18" s="20" t="inlineStr">
        <is>
          <t>2026-03-11 15:01</t>
        </is>
      </c>
      <c r="B18" s="20" t="inlineStr">
        <is>
          <t>D14 Finance</t>
        </is>
      </c>
      <c r="C18" s="29" t="inlineStr">
        <is>
          <t>스프레드시트</t>
        </is>
      </c>
      <c r="D18" s="28" t="inlineStr">
        <is>
          <t>✅</t>
        </is>
      </c>
      <c r="E18" s="29" t="inlineStr">
        <is>
          <t>비용/매출 추적 Excel 생성</t>
        </is>
      </c>
      <c r="F18" s="20" t="inlineStr">
        <is>
          <t>Cowork</t>
        </is>
      </c>
    </row>
    <row r="19" ht="15" customHeight="1" s="14">
      <c r="A19" s="20" t="inlineStr">
        <is>
          <t>2026-03-11 15:01</t>
        </is>
      </c>
      <c r="B19" s="20" t="inlineStr">
        <is>
          <t>D15 Intel</t>
        </is>
      </c>
      <c r="C19" s="20" t="inlineStr">
        <is>
          <t>Layer 1 자동화</t>
        </is>
      </c>
      <c r="D19" s="28" t="inlineStr">
        <is>
          <t>✅</t>
        </is>
      </c>
      <c r="E19" s="20" t="inlineStr">
        <is>
          <t>competitor-scan Cron 매주 월 08:00</t>
        </is>
      </c>
      <c r="F19" s="20" t="inlineStr">
        <is>
          <t>Claude Code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2026-03-11T06:01:32Z</dcterms:created>
  <dcterms:modified xsi:type="dcterms:W3CDTF">2026-03-29T10:03:53Z</dcterms:modified>
  <cp:revision>0</cp:revision>
</cp:coreProperties>
</file>