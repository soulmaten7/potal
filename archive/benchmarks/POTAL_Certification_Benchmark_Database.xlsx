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Customs Broker Exams" sheetId="2" state="visible" r:id="rId4"/>
    <sheet name="HS Benchmarks" sheetId="3" state="visible" r:id="rId5"/>
    <sheet name="Trade Compliance" sheetId="4" state="visible" r:id="rId6"/>
    <sheet name="Tax &amp; VAT" sheetId="5" state="visible" r:id="rId7"/>
    <sheet name="Logistics &amp; SCM" sheetId="6" state="visible" r:id="rId8"/>
    <sheet name="POTAL Test Plan" sheetId="7" state="visible" r:id="rId9"/>
    <sheet name="Competitor Knowledge Map" sheetId="8" state="visible" r:id="rId10"/>
    <sheet name="Customer Certs" sheetId="9" state="visible" r:id="rId11"/>
    <sheet name="Industry Ratings" sheetId="10" state="visible" r:id="rId12"/>
    <sheet name="Cost Saving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<sst xmlns="http://schemas.openxmlformats.org/spreadsheetml/2006/main" count="944" uniqueCount="642">
  <si>
    <t xml:space="preserve">POTAL — Professional Certification &amp; Benchmark Database</t>
  </si>
  <si>
    <r>
      <rPr>
        <sz val="11"/>
        <color rgb="FF666666"/>
        <rFont val="Arial"/>
        <family val="0"/>
        <charset val="1"/>
      </rPr>
      <t xml:space="preserve">POTAL</t>
    </r>
    <r>
      <rPr>
        <sz val="11"/>
        <color rgb="FF666666"/>
        <rFont val="DejaVu Sans"/>
        <family val="2"/>
      </rPr>
      <t xml:space="preserve">이 대체하는 모든 인간 전문가의 자격증</t>
    </r>
    <r>
      <rPr>
        <sz val="11"/>
        <color rgb="FF666666"/>
        <rFont val="Arial"/>
        <family val="0"/>
        <charset val="1"/>
      </rPr>
      <t xml:space="preserve">, </t>
    </r>
    <r>
      <rPr>
        <sz val="11"/>
        <color rgb="FF666666"/>
        <rFont val="DejaVu Sans"/>
        <family val="2"/>
      </rPr>
      <t xml:space="preserve">시험</t>
    </r>
    <r>
      <rPr>
        <sz val="11"/>
        <color rgb="FF666666"/>
        <rFont val="Arial"/>
        <family val="0"/>
        <charset val="1"/>
      </rPr>
      <t xml:space="preserve">, </t>
    </r>
    <r>
      <rPr>
        <sz val="11"/>
        <color rgb="FF666666"/>
        <rFont val="DejaVu Sans"/>
        <family val="2"/>
      </rPr>
      <t xml:space="preserve">벤치마크 총정리</t>
    </r>
  </si>
  <si>
    <t xml:space="preserve">Last Updated: 2026-03-16 | Source: CBP, WCO, NCBFAA, IATA, FIATA, arXiv, etc.</t>
  </si>
  <si>
    <t xml:space="preserve">Category</t>
  </si>
  <si>
    <t xml:space="preserve">Count</t>
  </si>
  <si>
    <t xml:space="preserve">POTAL Testable</t>
  </si>
  <si>
    <t xml:space="preserve">Public Data</t>
  </si>
  <si>
    <t xml:space="preserve">Priority</t>
  </si>
  <si>
    <t xml:space="preserve">Notes</t>
  </si>
  <si>
    <t xml:space="preserve">Customs Broker Exams (by country)</t>
  </si>
  <si>
    <t xml:space="preserve">Yes (US/EU/UK/KR)</t>
  </si>
  <si>
    <t xml:space="preserve">P0</t>
  </si>
  <si>
    <r>
      <rPr>
        <sz val="10"/>
        <rFont val="Arial"/>
        <family val="0"/>
        <charset val="1"/>
      </rPr>
      <t xml:space="preserve">CBLE = </t>
    </r>
    <r>
      <rPr>
        <sz val="10"/>
        <rFont val="DejaVu Sans"/>
        <family val="2"/>
      </rPr>
      <t xml:space="preserve">마케팅 최고 소재</t>
    </r>
  </si>
  <si>
    <t xml:space="preserve">Trade Compliance Certs</t>
  </si>
  <si>
    <t xml:space="preserve">Partial</t>
  </si>
  <si>
    <t xml:space="preserve">P1</t>
  </si>
  <si>
    <r>
      <rPr>
        <sz val="10"/>
        <rFont val="Arial"/>
        <family val="0"/>
        <charset val="1"/>
      </rPr>
      <t xml:space="preserve">CCS, CES, MTC, LCB </t>
    </r>
    <r>
      <rPr>
        <sz val="10"/>
        <rFont val="DejaVu Sans"/>
        <family val="2"/>
      </rPr>
      <t xml:space="preserve">등</t>
    </r>
  </si>
  <si>
    <t xml:space="preserve">HS Classification Specific</t>
  </si>
  <si>
    <t xml:space="preserve">Yes</t>
  </si>
  <si>
    <t xml:space="preserve">WCO, CBP rulings, EBTI</t>
  </si>
  <si>
    <t xml:space="preserve">Tax &amp; VAT Certs</t>
  </si>
  <si>
    <t xml:space="preserve">P2</t>
  </si>
  <si>
    <t xml:space="preserve">CPA, EA, VAT specialist</t>
  </si>
  <si>
    <t xml:space="preserve">Logistics &amp; Supply Chain</t>
  </si>
  <si>
    <t xml:space="preserve">No</t>
  </si>
  <si>
    <t xml:space="preserve">P3</t>
  </si>
  <si>
    <r>
      <rPr>
        <sz val="10"/>
        <rFont val="DejaVu Sans"/>
        <family val="2"/>
      </rPr>
      <t xml:space="preserve">직접 테스트 불가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참조용</t>
    </r>
  </si>
  <si>
    <t xml:space="preserve">Academic Benchmarks (HS)</t>
  </si>
  <si>
    <t xml:space="preserve">arXiv, ATLAS, HSCodeComp</t>
  </si>
  <si>
    <t xml:space="preserve">Industry Ratings &amp; Reviews</t>
  </si>
  <si>
    <t xml:space="preserve">N/A</t>
  </si>
  <si>
    <t xml:space="preserve">고객 생긴 후 등록</t>
  </si>
  <si>
    <t xml:space="preserve">Customer-side Certs</t>
  </si>
  <si>
    <r>
      <rPr>
        <sz val="10"/>
        <rFont val="Arial"/>
        <family val="0"/>
        <charset val="1"/>
      </rPr>
      <t xml:space="preserve">CITP, CGBP </t>
    </r>
    <r>
      <rPr>
        <sz val="10"/>
        <rFont val="DejaVu Sans"/>
        <family val="2"/>
      </rPr>
      <t xml:space="preserve">등</t>
    </r>
  </si>
  <si>
    <t xml:space="preserve">TOTAL</t>
  </si>
  <si>
    <t xml:space="preserve">-</t>
  </si>
  <si>
    <t xml:space="preserve">핵심 전략</t>
  </si>
  <si>
    <r>
      <rPr>
        <sz val="10"/>
        <rFont val="Arial"/>
        <family val="0"/>
        <charset val="1"/>
      </rPr>
      <t xml:space="preserve">1. P0 </t>
    </r>
    <r>
      <rPr>
        <sz val="10"/>
        <rFont val="DejaVu Sans"/>
        <family val="2"/>
      </rPr>
      <t xml:space="preserve">시험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벤치마크부터 </t>
    </r>
    <r>
      <rPr>
        <sz val="10"/>
        <rFont val="Arial"/>
        <family val="0"/>
        <charset val="1"/>
      </rPr>
      <t xml:space="preserve">POTAL API</t>
    </r>
    <r>
      <rPr>
        <sz val="10"/>
        <rFont val="DejaVu Sans"/>
        <family val="2"/>
      </rPr>
      <t xml:space="preserve">로 응시 → 점수 공개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마케팅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</si>
  <si>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2. "AI</t>
    </r>
    <r>
      <rPr>
        <sz val="10"/>
        <rFont val="DejaVu Sans"/>
        <family val="2"/>
      </rPr>
      <t xml:space="preserve">가 관세사 시험 </t>
    </r>
    <r>
      <rPr>
        <sz val="10"/>
        <rFont val="Arial"/>
        <family val="0"/>
        <charset val="1"/>
      </rPr>
      <t xml:space="preserve">XX</t>
    </r>
    <r>
      <rPr>
        <sz val="10"/>
        <rFont val="DejaVu Sans"/>
        <family val="2"/>
      </rPr>
      <t xml:space="preserve">점</t>
    </r>
    <r>
      <rPr>
        <sz val="10"/>
        <rFont val="Arial"/>
        <family val="0"/>
        <charset val="1"/>
      </rPr>
      <t xml:space="preserve">" = HN/DEV.to </t>
    </r>
    <r>
      <rPr>
        <sz val="10"/>
        <rFont val="DejaVu Sans"/>
        <family val="2"/>
      </rPr>
      <t xml:space="preserve">바이럴 소재</t>
    </r>
  </si>
  <si>
    <r>
      <rPr>
        <sz val="10"/>
        <rFont val="Arial"/>
        <family val="0"/>
        <charset val="1"/>
      </rPr>
      <t xml:space="preserve">3. </t>
    </r>
    <r>
      <rPr>
        <sz val="10"/>
        <rFont val="DejaVu Sans"/>
        <family val="2"/>
      </rPr>
      <t xml:space="preserve">경쟁사는 이런 시험 결과 공개 안함 → 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차별화</t>
    </r>
  </si>
  <si>
    <r>
      <rPr>
        <sz val="10"/>
        <rFont val="Arial"/>
        <family val="0"/>
        <charset val="1"/>
      </rPr>
      <t xml:space="preserve">4. </t>
    </r>
    <r>
      <rPr>
        <sz val="10"/>
        <rFont val="DejaVu Sans"/>
        <family val="2"/>
      </rPr>
      <t xml:space="preserve">시험별 약점 투명 공개 → 스타트업 신뢰 구축</t>
    </r>
  </si>
  <si>
    <t xml:space="preserve">Country</t>
  </si>
  <si>
    <t xml:space="preserve">Exam Name</t>
  </si>
  <si>
    <t xml:space="preserve">Abbreviation</t>
  </si>
  <si>
    <t xml:space="preserve">Issuing Org</t>
  </si>
  <si>
    <t xml:space="preserve">Format</t>
  </si>
  <si>
    <t xml:space="preserve">Questions</t>
  </si>
  <si>
    <t xml:space="preserve">Duration</t>
  </si>
  <si>
    <t xml:space="preserve">Pass Rate</t>
  </si>
  <si>
    <t xml:space="preserve">Pass Score</t>
  </si>
  <si>
    <t xml:space="preserve">Frequency</t>
  </si>
  <si>
    <t xml:space="preserve">Fee</t>
  </si>
  <si>
    <t xml:space="preserve">Public Content?</t>
  </si>
  <si>
    <t xml:space="preserve">POTAL Can Test?</t>
  </si>
  <si>
    <t xml:space="preserve">POTAL Division</t>
  </si>
  <si>
    <t xml:space="preserve">URL</t>
  </si>
  <si>
    <t xml:space="preserve">US</t>
  </si>
  <si>
    <t xml:space="preserve">Customs Broker License Exam</t>
  </si>
  <si>
    <t xml:space="preserve">CBLE</t>
  </si>
  <si>
    <t xml:space="preserve">CBP</t>
  </si>
  <si>
    <t xml:space="preserve">Multiple Choice</t>
  </si>
  <si>
    <t xml:space="preserve">4.5 hours</t>
  </si>
  <si>
    <t xml:space="preserve">15-30%</t>
  </si>
  <si>
    <t xml:space="preserve">75%</t>
  </si>
  <si>
    <t xml:space="preserve">2x/year (Apr, Oct)</t>
  </si>
  <si>
    <t xml:space="preserve">$390</t>
  </si>
  <si>
    <t xml:space="preserve">Yes — past exams + answers</t>
  </si>
  <si>
    <t xml:space="preserve">D1, D3</t>
  </si>
  <si>
    <t xml:space="preserve">cbp.gov/trade/programs-administration/customs-brokers</t>
  </si>
  <si>
    <r>
      <rPr>
        <sz val="10"/>
        <rFont val="Arial"/>
        <family val="0"/>
        <charset val="1"/>
      </rPr>
      <t xml:space="preserve">Open book (19 CFR, HTS). </t>
    </r>
    <r>
      <rPr>
        <sz val="10"/>
        <rFont val="DejaVu Sans"/>
        <family val="2"/>
      </rPr>
      <t xml:space="preserve">가장 높은 마케팅 임팩트</t>
    </r>
  </si>
  <si>
    <t xml:space="preserve">Certified Customs Specialist</t>
  </si>
  <si>
    <t xml:space="preserve">CCS</t>
  </si>
  <si>
    <t xml:space="preserve">NCBFAA</t>
  </si>
  <si>
    <t xml:space="preserve">Proctored Final</t>
  </si>
  <si>
    <t xml:space="preserve">6 hours</t>
  </si>
  <si>
    <t xml:space="preserve">Self-paced (6mo)</t>
  </si>
  <si>
    <t xml:space="preserve">$425</t>
  </si>
  <si>
    <t xml:space="preserve">No (proprietary)</t>
  </si>
  <si>
    <t xml:space="preserve">D1</t>
  </si>
  <si>
    <t xml:space="preserve">ncbfaa.org/education</t>
  </si>
  <si>
    <t xml:space="preserve">25 modules + final exam</t>
  </si>
  <si>
    <t xml:space="preserve">Certified Export Specialist</t>
  </si>
  <si>
    <t xml:space="preserve">CES</t>
  </si>
  <si>
    <t xml:space="preserve">Export compliance focus</t>
  </si>
  <si>
    <t xml:space="preserve">Master of Trade Compliance</t>
  </si>
  <si>
    <t xml:space="preserve">MTC</t>
  </si>
  <si>
    <t xml:space="preserve">Advanced Exam</t>
  </si>
  <si>
    <t xml:space="preserve">After CCS+CES</t>
  </si>
  <si>
    <r>
      <rPr>
        <sz val="10"/>
        <rFont val="Arial"/>
        <family val="0"/>
        <charset val="1"/>
      </rPr>
      <t xml:space="preserve">CCS+CES </t>
    </r>
    <r>
      <rPr>
        <sz val="10"/>
        <rFont val="DejaVu Sans"/>
        <family val="2"/>
      </rPr>
      <t xml:space="preserve">둘 다 합격 후</t>
    </r>
  </si>
  <si>
    <t xml:space="preserve">EU</t>
  </si>
  <si>
    <t xml:space="preserve">AEO (Authorized Economic Operator)</t>
  </si>
  <si>
    <t xml:space="preserve">AEO</t>
  </si>
  <si>
    <t xml:space="preserve">EU Customs</t>
  </si>
  <si>
    <t xml:space="preserve">Application + Audit</t>
  </si>
  <si>
    <t xml:space="preserve">On application</t>
  </si>
  <si>
    <t xml:space="preserve">Partial (criteria public)</t>
  </si>
  <si>
    <t xml:space="preserve">D1, D13</t>
  </si>
  <si>
    <t xml:space="preserve">ec.europa.eu/taxation_customs/aeo</t>
  </si>
  <si>
    <t xml:space="preserve">AEOC (Customs) / AEOS (Security)</t>
  </si>
  <si>
    <t xml:space="preserve">EU Binding Tariff Information</t>
  </si>
  <si>
    <t xml:space="preserve">BTI/EBTI</t>
  </si>
  <si>
    <t xml:space="preserve">EU Member States</t>
  </si>
  <si>
    <t xml:space="preserve">Classification Ruling</t>
  </si>
  <si>
    <t xml:space="preserve">Yes — EBTI database</t>
  </si>
  <si>
    <t xml:space="preserve">D3</t>
  </si>
  <si>
    <t xml:space="preserve">ec.europa.eu/taxation_customs/ebti</t>
  </si>
  <si>
    <t xml:space="preserve">50K-100K rulings with HS codes</t>
  </si>
  <si>
    <t xml:space="preserve">UK</t>
  </si>
  <si>
    <t xml:space="preserve">UK Customs Broker (HMRC)</t>
  </si>
  <si>
    <t xml:space="preserve">HMRC</t>
  </si>
  <si>
    <t xml:space="preserve">Registration + Competency</t>
  </si>
  <si>
    <t xml:space="preserve">On registration</t>
  </si>
  <si>
    <t xml:space="preserve">gov.uk/hmrc</t>
  </si>
  <si>
    <r>
      <rPr>
        <sz val="10"/>
        <rFont val="Arial"/>
        <family val="0"/>
        <charset val="1"/>
      </rPr>
      <t xml:space="preserve">ATaR (Advance Tariff Ruling) </t>
    </r>
    <r>
      <rPr>
        <sz val="10"/>
        <rFont val="DejaVu Sans"/>
        <family val="2"/>
      </rPr>
      <t xml:space="preserve">데이터 공개</t>
    </r>
  </si>
  <si>
    <t xml:space="preserve">Korea</t>
  </si>
  <si>
    <t xml:space="preserve">관세사 시험</t>
  </si>
  <si>
    <t xml:space="preserve">관세사</t>
  </si>
  <si>
    <r>
      <rPr>
        <sz val="10"/>
        <rFont val="DejaVu Sans"/>
        <family val="2"/>
      </rPr>
      <t xml:space="preserve">관세청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한국산업인력공단</t>
    </r>
  </si>
  <si>
    <r>
      <rPr>
        <sz val="10"/>
        <rFont val="DejaVu Sans"/>
        <family val="2"/>
      </rPr>
      <t xml:space="preserve">필기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실기</t>
    </r>
  </si>
  <si>
    <t xml:space="preserve">~200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</si>
  <si>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차 </t>
    </r>
    <r>
      <rPr>
        <sz val="10"/>
        <rFont val="Arial"/>
        <family val="0"/>
        <charset val="1"/>
      </rPr>
      <t xml:space="preserve">5</t>
    </r>
    <r>
      <rPr>
        <sz val="10"/>
        <rFont val="DejaVu Sans"/>
        <family val="2"/>
      </rPr>
      <t xml:space="preserve">과목</t>
    </r>
    <r>
      <rPr>
        <sz val="10"/>
        <rFont val="Arial"/>
        <family val="0"/>
        <charset val="1"/>
      </rPr>
      <t xml:space="preserve">, 2</t>
    </r>
    <r>
      <rPr>
        <sz val="10"/>
        <rFont val="DejaVu Sans"/>
        <family val="2"/>
      </rPr>
      <t xml:space="preserve">차 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과목</t>
    </r>
  </si>
  <si>
    <t xml:space="preserve">~5-10%</t>
  </si>
  <si>
    <r>
      <rPr>
        <sz val="10"/>
        <rFont val="Arial"/>
        <family val="0"/>
        <charset val="1"/>
      </rPr>
      <t xml:space="preserve">60</t>
    </r>
    <r>
      <rPr>
        <sz val="10"/>
        <rFont val="DejaVu Sans"/>
        <family val="2"/>
      </rPr>
      <t xml:space="preserve">점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과목</t>
    </r>
  </si>
  <si>
    <t xml:space="preserve">1x/year</t>
  </si>
  <si>
    <t xml:space="preserve">~₩50,000</t>
  </si>
  <si>
    <r>
      <rPr>
        <sz val="10"/>
        <rFont val="Arial"/>
        <family val="0"/>
        <charset val="1"/>
      </rPr>
      <t xml:space="preserve">Yes — </t>
    </r>
    <r>
      <rPr>
        <sz val="10"/>
        <rFont val="DejaVu Sans"/>
        <family val="2"/>
      </rPr>
      <t xml:space="preserve">기출문제 공개</t>
    </r>
  </si>
  <si>
    <r>
      <rPr>
        <sz val="10"/>
        <rFont val="Arial"/>
        <family val="0"/>
        <charset val="1"/>
      </rPr>
      <t xml:space="preserve">Yes (</t>
    </r>
    <r>
      <rPr>
        <sz val="10"/>
        <rFont val="DejaVu Sans"/>
        <family val="2"/>
      </rPr>
      <t xml:space="preserve">필기</t>
    </r>
    <r>
      <rPr>
        <sz val="10"/>
        <rFont val="Arial"/>
        <family val="0"/>
        <charset val="1"/>
      </rPr>
      <t xml:space="preserve">)</t>
    </r>
  </si>
  <si>
    <t xml:space="preserve">q-net.or.kr</t>
  </si>
  <si>
    <r>
      <rPr>
        <sz val="10"/>
        <rFont val="DejaVu Sans"/>
        <family val="2"/>
      </rPr>
      <t xml:space="preserve">한국 관세사 기출로 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테스트 가능</t>
    </r>
  </si>
  <si>
    <t xml:space="preserve">Japan</t>
  </si>
  <si>
    <r>
      <rPr>
        <sz val="10"/>
        <rFont val="DejaVu Sans"/>
        <family val="2"/>
      </rPr>
      <t xml:space="preserve">通関士試験 </t>
    </r>
    <r>
      <rPr>
        <sz val="10"/>
        <rFont val="Arial"/>
        <family val="0"/>
        <charset val="1"/>
      </rPr>
      <t xml:space="preserve">(Customs Broker)</t>
    </r>
  </si>
  <si>
    <t xml:space="preserve">通関士</t>
  </si>
  <si>
    <t xml:space="preserve">財務省</t>
  </si>
  <si>
    <t xml:space="preserve">Written Exam</t>
  </si>
  <si>
    <t xml:space="preserve">~60</t>
  </si>
  <si>
    <t xml:space="preserve">3 sections</t>
  </si>
  <si>
    <t xml:space="preserve">~15-20%</t>
  </si>
  <si>
    <t xml:space="preserve">60%/section</t>
  </si>
  <si>
    <t xml:space="preserve">1x/year (Oct)</t>
  </si>
  <si>
    <t xml:space="preserve">¥2,900</t>
  </si>
  <si>
    <r>
      <rPr>
        <sz val="10"/>
        <rFont val="Arial"/>
        <family val="0"/>
        <charset val="1"/>
      </rPr>
      <t xml:space="preserve">Yes — </t>
    </r>
    <r>
      <rPr>
        <sz val="10"/>
        <rFont val="DejaVu Sans"/>
        <family val="2"/>
      </rPr>
      <t xml:space="preserve">過去問公開</t>
    </r>
  </si>
  <si>
    <t xml:space="preserve">customs.go.jp</t>
  </si>
  <si>
    <t xml:space="preserve">일본 관세사 기출 공개</t>
  </si>
  <si>
    <t xml:space="preserve">Canada</t>
  </si>
  <si>
    <t xml:space="preserve">CSCB Professional Designation</t>
  </si>
  <si>
    <t xml:space="preserve">CSCB</t>
  </si>
  <si>
    <t xml:space="preserve">Coursework + Exam</t>
  </si>
  <si>
    <t xml:space="preserve">Program-based</t>
  </si>
  <si>
    <t xml:space="preserve">cscb.ca</t>
  </si>
  <si>
    <t xml:space="preserve">Canadian Society of Customs Brokers</t>
  </si>
  <si>
    <t xml:space="preserve">Australia</t>
  </si>
  <si>
    <t xml:space="preserve">Licensed Customs Broker</t>
  </si>
  <si>
    <t xml:space="preserve">LCB</t>
  </si>
  <si>
    <t xml:space="preserve">ABF</t>
  </si>
  <si>
    <t xml:space="preserve">Exam + Experience</t>
  </si>
  <si>
    <t xml:space="preserve">abf.gov.au</t>
  </si>
  <si>
    <r>
      <rPr>
        <sz val="10"/>
        <rFont val="Arial"/>
        <family val="0"/>
        <charset val="1"/>
      </rPr>
      <t xml:space="preserve">Australian Border Force </t>
    </r>
    <r>
      <rPr>
        <sz val="10"/>
        <rFont val="DejaVu Sans"/>
        <family val="2"/>
      </rPr>
      <t xml:space="preserve">관할</t>
    </r>
  </si>
  <si>
    <t xml:space="preserve">International</t>
  </si>
  <si>
    <t xml:space="preserve">WCO HS Classification Certificate</t>
  </si>
  <si>
    <t xml:space="preserve">WCO</t>
  </si>
  <si>
    <t xml:space="preserve">Online + Exam</t>
  </si>
  <si>
    <t xml:space="preserve">50</t>
  </si>
  <si>
    <t xml:space="preserve">2 hours</t>
  </si>
  <si>
    <t xml:space="preserve">70%</t>
  </si>
  <si>
    <t xml:space="preserve">Multiple/year</t>
  </si>
  <si>
    <t xml:space="preserve">CHF 500</t>
  </si>
  <si>
    <t xml:space="preserve">No (but WCO materials ref)</t>
  </si>
  <si>
    <t xml:space="preserve">wcoomd.org/en/topics/nomenclature/overview/wco-hs-classification</t>
  </si>
  <si>
    <r>
      <rPr>
        <sz val="10"/>
        <rFont val="Arial"/>
        <family val="0"/>
        <charset val="1"/>
      </rPr>
      <t xml:space="preserve">WCO </t>
    </r>
    <r>
      <rPr>
        <sz val="10"/>
        <rFont val="DejaVu Sans"/>
        <family val="2"/>
      </rPr>
      <t xml:space="preserve">공식 </t>
    </r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분류 인증</t>
    </r>
  </si>
  <si>
    <t xml:space="preserve">Benchmark</t>
  </si>
  <si>
    <t xml:space="preserve">Source</t>
  </si>
  <si>
    <t xml:space="preserve">Type</t>
  </si>
  <si>
    <t xml:space="preserve">Dataset Size</t>
  </si>
  <si>
    <t xml:space="preserve">HS Depth</t>
  </si>
  <si>
    <t xml:space="preserve">Best Known Score</t>
  </si>
  <si>
    <t xml:space="preserve">Best Model</t>
  </si>
  <si>
    <t xml:space="preserve">Competitor Scores</t>
  </si>
  <si>
    <t xml:space="preserve">Data Available?</t>
  </si>
  <si>
    <t xml:space="preserve">POTAL Priority</t>
  </si>
  <si>
    <t xml:space="preserve">POTAL Status</t>
  </si>
  <si>
    <t xml:space="preserve">Marketing Value</t>
  </si>
  <si>
    <t xml:space="preserve">URL/Reference</t>
  </si>
  <si>
    <t xml:space="preserve">CBP 103-item Test</t>
  </si>
  <si>
    <t xml:space="preserve">arXiv:2412.14179</t>
  </si>
  <si>
    <t xml:space="preserve">Academic</t>
  </si>
  <si>
    <t xml:space="preserve">103 CBP rulings</t>
  </si>
  <si>
    <t xml:space="preserve">10-digit HTS</t>
  </si>
  <si>
    <t xml:space="preserve">89%</t>
  </si>
  <si>
    <t xml:space="preserve">Tarifflo</t>
  </si>
  <si>
    <t xml:space="preserve">Tarifflo 89%, Avalara 80%, Zonos 44%, BACUDA 13%</t>
  </si>
  <si>
    <t xml:space="preserve">Yes (prepared 100 items)</t>
  </si>
  <si>
    <t xml:space="preserve">테스트 데이터 준비 완료</t>
  </si>
  <si>
    <t xml:space="preserve">경쟁사 직접 비교 가능</t>
  </si>
  <si>
    <t xml:space="preserve">arxiv.org/abs/2412.14179</t>
  </si>
  <si>
    <t xml:space="preserve">ATLAS</t>
  </si>
  <si>
    <t xml:space="preserve">arXiv:2509.18400</t>
  </si>
  <si>
    <t xml:space="preserve">18,731 CBP rulings / 2,992 codes</t>
  </si>
  <si>
    <t xml:space="preserve">6 &amp; 10-digit</t>
  </si>
  <si>
    <t xml:space="preserve">57.5% (6-digit)</t>
  </si>
  <si>
    <t xml:space="preserve">Fine-tuned LLaMA-3.3-70B</t>
  </si>
  <si>
    <t xml:space="preserve">GPT-5-Thinking 42.5% (6-digit)</t>
  </si>
  <si>
    <t xml:space="preserve">TBD (check paper)</t>
  </si>
  <si>
    <t xml:space="preserve">데이터셋 확보 필요</t>
  </si>
  <si>
    <t xml:space="preserve">대규모 정확도 증명</t>
  </si>
  <si>
    <t xml:space="preserve">arxiv.org/abs/2509.18400</t>
  </si>
  <si>
    <t xml:space="preserve">HSCodeComp</t>
  </si>
  <si>
    <t xml:space="preserve">Academic Paper</t>
  </si>
  <si>
    <t xml:space="preserve">632 products / 27 chapters</t>
  </si>
  <si>
    <t xml:space="preserve">6-digit</t>
  </si>
  <si>
    <t xml:space="preserve">이커머스 특화 벤치마크</t>
  </si>
  <si>
    <t xml:space="preserve">Search: HSCodeComp benchmark</t>
  </si>
  <si>
    <t xml:space="preserve">WCO BACUDA</t>
  </si>
  <si>
    <t xml:space="preserve">International Org</t>
  </si>
  <si>
    <t xml:space="preserve">Varies</t>
  </si>
  <si>
    <t xml:space="preserve">13% on CBP test</t>
  </si>
  <si>
    <t xml:space="preserve">No (WCO members only)</t>
  </si>
  <si>
    <t xml:space="preserve">참고 기준만</t>
  </si>
  <si>
    <t xml:space="preserve">bacuda.wcoomd.org</t>
  </si>
  <si>
    <t xml:space="preserve">CBLE Past Exams</t>
  </si>
  <si>
    <t xml:space="preserve">Government Exam</t>
  </si>
  <si>
    <t xml:space="preserve">80 questions/exam × 10+ exams</t>
  </si>
  <si>
    <t xml:space="preserve">Full HS + regulations</t>
  </si>
  <si>
    <t xml:space="preserve">Human avg: 15-30% pass</t>
  </si>
  <si>
    <t xml:space="preserve">Yes — CBP website</t>
  </si>
  <si>
    <t xml:space="preserve">다운로드 필요</t>
  </si>
  <si>
    <r>
      <rPr>
        <sz val="10"/>
        <rFont val="Arial"/>
        <family val="0"/>
        <charset val="1"/>
      </rPr>
      <t xml:space="preserve">"AI</t>
    </r>
    <r>
      <rPr>
        <sz val="10"/>
        <rFont val="DejaVu Sans"/>
        <family val="2"/>
      </rPr>
      <t xml:space="preserve">가 관세사 시험 통과</t>
    </r>
    <r>
      <rPr>
        <sz val="10"/>
        <rFont val="Arial"/>
        <family val="0"/>
        <charset val="1"/>
      </rPr>
      <t xml:space="preserve">" </t>
    </r>
    <r>
      <rPr>
        <sz val="10"/>
        <rFont val="DejaVu Sans"/>
        <family val="2"/>
      </rPr>
      <t xml:space="preserve">헤드라인</t>
    </r>
  </si>
  <si>
    <t xml:space="preserve">cbp.gov</t>
  </si>
  <si>
    <r>
      <rPr>
        <sz val="10"/>
        <rFont val="Arial"/>
        <family val="0"/>
        <charset val="1"/>
      </rPr>
      <t xml:space="preserve">Korea </t>
    </r>
    <r>
      <rPr>
        <sz val="10"/>
        <rFont val="DejaVu Sans"/>
        <family val="2"/>
      </rPr>
      <t xml:space="preserve">관세사 기출</t>
    </r>
  </si>
  <si>
    <t xml:space="preserve">한국산업인력공단</t>
  </si>
  <si>
    <r>
      <rPr>
        <sz val="10"/>
        <rFont val="Arial"/>
        <family val="0"/>
        <charset val="1"/>
      </rPr>
      <t xml:space="preserve">200+</t>
    </r>
    <r>
      <rPr>
        <sz val="10"/>
        <rFont val="DejaVu Sans"/>
        <family val="2"/>
      </rPr>
      <t xml:space="preserve">문항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년</t>
    </r>
  </si>
  <si>
    <r>
      <rPr>
        <sz val="10"/>
        <rFont val="Arial"/>
        <family val="0"/>
        <charset val="1"/>
      </rPr>
      <t xml:space="preserve">HSK 10</t>
    </r>
    <r>
      <rPr>
        <sz val="10"/>
        <rFont val="DejaVu Sans"/>
        <family val="2"/>
      </rPr>
      <t xml:space="preserve">자리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법규</t>
    </r>
  </si>
  <si>
    <t xml:space="preserve">Human avg: ~5-10% pass</t>
  </si>
  <si>
    <r>
      <rPr>
        <sz val="10"/>
        <rFont val="Arial"/>
        <family val="0"/>
        <charset val="1"/>
      </rPr>
      <t xml:space="preserve">Yes — </t>
    </r>
    <r>
      <rPr>
        <sz val="10"/>
        <rFont val="DejaVu Sans"/>
        <family val="2"/>
      </rPr>
      <t xml:space="preserve">기출 공개</t>
    </r>
  </si>
  <si>
    <t xml:space="preserve">한국 시장 마케팅</t>
  </si>
  <si>
    <r>
      <rPr>
        <sz val="10"/>
        <rFont val="Arial"/>
        <family val="0"/>
        <charset val="1"/>
      </rPr>
      <t xml:space="preserve">Japan </t>
    </r>
    <r>
      <rPr>
        <sz val="10"/>
        <rFont val="DejaVu Sans"/>
        <family val="2"/>
      </rPr>
      <t xml:space="preserve">通関士 過去問</t>
    </r>
  </si>
  <si>
    <r>
      <rPr>
        <sz val="10"/>
        <rFont val="Arial"/>
        <family val="0"/>
        <charset val="1"/>
      </rPr>
      <t xml:space="preserve">~60</t>
    </r>
    <r>
      <rPr>
        <sz val="10"/>
        <rFont val="DejaVu Sans"/>
        <family val="2"/>
      </rPr>
      <t xml:space="preserve">문항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년</t>
    </r>
  </si>
  <si>
    <r>
      <rPr>
        <sz val="10"/>
        <rFont val="Arial"/>
        <family val="0"/>
        <charset val="1"/>
      </rPr>
      <t xml:space="preserve">HS + </t>
    </r>
    <r>
      <rPr>
        <sz val="10"/>
        <rFont val="DejaVu Sans"/>
        <family val="2"/>
      </rPr>
      <t xml:space="preserve">통관법</t>
    </r>
  </si>
  <si>
    <t xml:space="preserve">Human avg: ~15-20% pass</t>
  </si>
  <si>
    <t xml:space="preserve">일본 시장 마케팅</t>
  </si>
  <si>
    <t xml:space="preserve">EU EBTI Rulings</t>
  </si>
  <si>
    <t xml:space="preserve">Ground Truth</t>
  </si>
  <si>
    <t xml:space="preserve">50K-100K rulings</t>
  </si>
  <si>
    <t xml:space="preserve">CN 8-10 digit</t>
  </si>
  <si>
    <t xml:space="preserve">N/A (ground truth)</t>
  </si>
  <si>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구현 완료</t>
    </r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</si>
  <si>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정확도 증명 소스</t>
    </r>
  </si>
  <si>
    <t xml:space="preserve">CBP CROSS Rulings</t>
  </si>
  <si>
    <t xml:space="preserve">220,114 rulings</t>
  </si>
  <si>
    <t xml:space="preserve">HTS 10-digit</t>
  </si>
  <si>
    <r>
      <rPr>
        <sz val="10"/>
        <rFont val="Arial"/>
        <family val="0"/>
        <charset val="1"/>
      </rPr>
      <t xml:space="preserve">Yes — 142,251</t>
    </r>
    <r>
      <rPr>
        <sz val="10"/>
        <rFont val="DejaVu Sans"/>
        <family val="2"/>
      </rPr>
      <t xml:space="preserve">건 추출 완료</t>
    </r>
  </si>
  <si>
    <r>
      <rPr>
        <sz val="10"/>
        <rFont val="DejaVu Sans"/>
        <family val="2"/>
      </rPr>
      <t xml:space="preserve">✅ 추출 완료</t>
    </r>
    <r>
      <rPr>
        <sz val="10"/>
        <rFont val="Arial"/>
        <family val="0"/>
        <charset val="1"/>
      </rPr>
      <t xml:space="preserve">, DB </t>
    </r>
    <r>
      <rPr>
        <sz val="10"/>
        <rFont val="DejaVu Sans"/>
        <family val="2"/>
      </rPr>
      <t xml:space="preserve">적재 대기</t>
    </r>
  </si>
  <si>
    <r>
      <rPr>
        <sz val="10"/>
        <rFont val="Arial"/>
        <family val="0"/>
        <charset val="1"/>
      </rPr>
      <t xml:space="preserve">POTAL DB</t>
    </r>
    <r>
      <rPr>
        <sz val="10"/>
        <rFont val="DejaVu Sans"/>
        <family val="2"/>
      </rPr>
      <t xml:space="preserve">의 핵심 </t>
    </r>
    <r>
      <rPr>
        <sz val="10"/>
        <rFont val="Arial"/>
        <family val="0"/>
        <charset val="1"/>
      </rPr>
      <t xml:space="preserve">backbone</t>
    </r>
  </si>
  <si>
    <t xml:space="preserve">rulings.cbp.gov</t>
  </si>
  <si>
    <t xml:space="preserve">Cert Name</t>
  </si>
  <si>
    <t xml:space="preserve">Focus Area</t>
  </si>
  <si>
    <t xml:space="preserve">POTAL Replaces?</t>
  </si>
  <si>
    <t xml:space="preserve">Import compliance</t>
  </si>
  <si>
    <t xml:space="preserve">25 modules + final</t>
  </si>
  <si>
    <t xml:space="preserve">Partial — D1 covers tariff/classification</t>
  </si>
  <si>
    <t xml:space="preserve">Export compliance</t>
  </si>
  <si>
    <t xml:space="preserve">Partial — export controls</t>
  </si>
  <si>
    <r>
      <rPr>
        <sz val="10"/>
        <rFont val="Arial"/>
        <family val="0"/>
        <charset val="1"/>
      </rPr>
      <t xml:space="preserve">EAR/ECCN </t>
    </r>
    <r>
      <rPr>
        <sz val="10"/>
        <rFont val="DejaVu Sans"/>
        <family val="2"/>
      </rPr>
      <t xml:space="preserve">지식</t>
    </r>
  </si>
  <si>
    <t xml:space="preserve">Full trade compliance</t>
  </si>
  <si>
    <t xml:space="preserve">CCS + CES completion</t>
  </si>
  <si>
    <t xml:space="preserve">최고 수준 자격</t>
  </si>
  <si>
    <t xml:space="preserve">Operational brokerage</t>
  </si>
  <si>
    <t xml:space="preserve">Coursework</t>
  </si>
  <si>
    <t xml:space="preserve">No — operational, not data</t>
  </si>
  <si>
    <t xml:space="preserve">현장 운영 자격</t>
  </si>
  <si>
    <t xml:space="preserve">Certified Trade Compliance Professional</t>
  </si>
  <si>
    <t xml:space="preserve">CTCP</t>
  </si>
  <si>
    <t xml:space="preserve">Various</t>
  </si>
  <si>
    <t xml:space="preserve">US/Intl</t>
  </si>
  <si>
    <t xml:space="preserve">Compliance management</t>
  </si>
  <si>
    <t xml:space="preserve">Exam</t>
  </si>
  <si>
    <t xml:space="preserve">IATA Dangerous Goods</t>
  </si>
  <si>
    <t xml:space="preserve">IATA DG</t>
  </si>
  <si>
    <t xml:space="preserve">IATA</t>
  </si>
  <si>
    <t xml:space="preserve">Dangerous goods shipping</t>
  </si>
  <si>
    <t xml:space="preserve">Course + exam</t>
  </si>
  <si>
    <t xml:space="preserve">~$400-800</t>
  </si>
  <si>
    <t xml:space="preserve">Yes — D1 restrictions check</t>
  </si>
  <si>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제한물품 </t>
    </r>
    <r>
      <rPr>
        <sz val="10"/>
        <rFont val="Arial"/>
        <family val="0"/>
        <charset val="1"/>
      </rPr>
      <t xml:space="preserve">DB</t>
    </r>
  </si>
  <si>
    <t xml:space="preserve">Certified Global Business Professional</t>
  </si>
  <si>
    <t xml:space="preserve">CGBP</t>
  </si>
  <si>
    <t xml:space="preserve">NASBITE</t>
  </si>
  <si>
    <t xml:space="preserve">Global business</t>
  </si>
  <si>
    <t xml:space="preserve">4 domains exam</t>
  </si>
  <si>
    <t xml:space="preserve">$350</t>
  </si>
  <si>
    <t xml:space="preserve">Partial (study guide)</t>
  </si>
  <si>
    <t xml:space="preserve">D1, D2</t>
  </si>
  <si>
    <t xml:space="preserve">수출입 전반 지식</t>
  </si>
  <si>
    <t xml:space="preserve">Certified International Trade Professional</t>
  </si>
  <si>
    <t xml:space="preserve">CITP</t>
  </si>
  <si>
    <t xml:space="preserve">FITT</t>
  </si>
  <si>
    <t xml:space="preserve">Canada/Intl</t>
  </si>
  <si>
    <t xml:space="preserve">International trade</t>
  </si>
  <si>
    <t xml:space="preserve">Coursework + exam</t>
  </si>
  <si>
    <t xml:space="preserve">CAD 1,200+</t>
  </si>
  <si>
    <t xml:space="preserve">캐나다 기반 국제 무역 자격</t>
  </si>
  <si>
    <t xml:space="preserve">Focus</t>
  </si>
  <si>
    <t xml:space="preserve">Certified Public Accountant</t>
  </si>
  <si>
    <t xml:space="preserve">CPA</t>
  </si>
  <si>
    <t xml:space="preserve">AICPA/State Boards</t>
  </si>
  <si>
    <t xml:space="preserve">Full accounting + tax</t>
  </si>
  <si>
    <r>
      <rPr>
        <sz val="10"/>
        <rFont val="Arial"/>
        <family val="0"/>
        <charset val="1"/>
      </rPr>
      <t xml:space="preserve">No — POTAL</t>
    </r>
    <r>
      <rPr>
        <sz val="10"/>
        <rFont val="DejaVu Sans"/>
        <family val="2"/>
      </rPr>
      <t xml:space="preserve">은 관세</t>
    </r>
    <r>
      <rPr>
        <sz val="10"/>
        <rFont val="Arial"/>
        <family val="0"/>
        <charset val="1"/>
      </rPr>
      <t xml:space="preserve">/VAT</t>
    </r>
    <r>
      <rPr>
        <sz val="10"/>
        <rFont val="DejaVu Sans"/>
        <family val="2"/>
      </rPr>
      <t xml:space="preserve">만</t>
    </r>
  </si>
  <si>
    <t xml:space="preserve">D2</t>
  </si>
  <si>
    <r>
      <rPr>
        <sz val="10"/>
        <rFont val="DejaVu Sans"/>
        <family val="2"/>
      </rPr>
      <t xml:space="preserve">범위가 너무 넓음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관세 부분만 해당</t>
    </r>
  </si>
  <si>
    <t xml:space="preserve">Enrolled Agent</t>
  </si>
  <si>
    <t xml:space="preserve">EA</t>
  </si>
  <si>
    <t xml:space="preserve">IRS</t>
  </si>
  <si>
    <t xml:space="preserve">Federal tax</t>
  </si>
  <si>
    <r>
      <rPr>
        <sz val="10"/>
        <rFont val="Arial"/>
        <family val="0"/>
        <charset val="1"/>
      </rPr>
      <t xml:space="preserve">Partial — VAT/GST </t>
    </r>
    <r>
      <rPr>
        <sz val="10"/>
        <rFont val="DejaVu Sans"/>
        <family val="2"/>
      </rPr>
      <t xml:space="preserve">계산</t>
    </r>
  </si>
  <si>
    <r>
      <rPr>
        <sz val="10"/>
        <rFont val="Arial"/>
        <family val="0"/>
        <charset val="1"/>
      </rPr>
      <t xml:space="preserve">IRS </t>
    </r>
    <r>
      <rPr>
        <sz val="10"/>
        <rFont val="DejaVu Sans"/>
        <family val="2"/>
      </rPr>
      <t xml:space="preserve">세금 전문가</t>
    </r>
    <r>
      <rPr>
        <sz val="10"/>
        <rFont val="Arial"/>
        <family val="0"/>
        <charset val="1"/>
      </rPr>
      <t xml:space="preserve">, POTAL</t>
    </r>
    <r>
      <rPr>
        <sz val="10"/>
        <rFont val="DejaVu Sans"/>
        <family val="2"/>
      </rPr>
      <t xml:space="preserve">은 </t>
    </r>
    <r>
      <rPr>
        <sz val="10"/>
        <rFont val="Arial"/>
        <family val="0"/>
        <charset val="1"/>
      </rPr>
      <t xml:space="preserve">cross-border tax</t>
    </r>
  </si>
  <si>
    <t xml:space="preserve">VAT Compliance Specialist</t>
  </si>
  <si>
    <t xml:space="preserve">Various (Avalara, Thomson Reuters)</t>
  </si>
  <si>
    <t xml:space="preserve">EU/UK</t>
  </si>
  <si>
    <t xml:space="preserve">VAT registration &amp; filing</t>
  </si>
  <si>
    <r>
      <rPr>
        <sz val="10"/>
        <rFont val="Arial"/>
        <family val="0"/>
        <charset val="1"/>
      </rPr>
      <t xml:space="preserve">Yes — D2 VAT/GST 240</t>
    </r>
    <r>
      <rPr>
        <sz val="10"/>
        <rFont val="DejaVu Sans"/>
        <family val="2"/>
      </rPr>
      <t xml:space="preserve">개국</t>
    </r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</si>
  <si>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의 핵심 대체 영역</t>
    </r>
  </si>
  <si>
    <t xml:space="preserve">Chartered Tax Adviser</t>
  </si>
  <si>
    <t xml:space="preserve">CTA</t>
  </si>
  <si>
    <t xml:space="preserve">CIOT</t>
  </si>
  <si>
    <t xml:space="preserve">UK tax advisory</t>
  </si>
  <si>
    <t xml:space="preserve">Partial — customs duty + VAT</t>
  </si>
  <si>
    <t xml:space="preserve">영국 세무사</t>
  </si>
  <si>
    <t xml:space="preserve">세무사</t>
  </si>
  <si>
    <t xml:space="preserve">세무 전반</t>
  </si>
  <si>
    <r>
      <rPr>
        <sz val="10"/>
        <rFont val="Arial"/>
        <family val="0"/>
        <charset val="1"/>
      </rPr>
      <t xml:space="preserve">Partial — </t>
    </r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부가세 부분</t>
    </r>
  </si>
  <si>
    <r>
      <rPr>
        <sz val="10"/>
        <rFont val="DejaVu Sans"/>
        <family val="2"/>
      </rPr>
      <t xml:space="preserve">한국 세무사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관세 부분만 해당</t>
    </r>
    <r>
      <rPr>
        <sz val="10"/>
        <rFont val="Arial"/>
        <family val="0"/>
        <charset val="1"/>
      </rPr>
      <t xml:space="preserve">)</t>
    </r>
  </si>
  <si>
    <r>
      <rPr>
        <sz val="10"/>
        <rFont val="DejaVu Sans"/>
        <family val="2"/>
      </rPr>
      <t xml:space="preserve">税理士 </t>
    </r>
    <r>
      <rPr>
        <sz val="10"/>
        <rFont val="Arial"/>
        <family val="0"/>
        <charset val="1"/>
      </rPr>
      <t xml:space="preserve">(Zeirishi)</t>
    </r>
  </si>
  <si>
    <t xml:space="preserve">국세청</t>
  </si>
  <si>
    <r>
      <rPr>
        <sz val="10"/>
        <rFont val="Arial"/>
        <family val="0"/>
        <charset val="1"/>
      </rPr>
      <t xml:space="preserve">Partial — </t>
    </r>
    <r>
      <rPr>
        <sz val="10"/>
        <rFont val="DejaVu Sans"/>
        <family val="2"/>
      </rPr>
      <t xml:space="preserve">관세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소비세 부분</t>
    </r>
  </si>
  <si>
    <t xml:space="preserve">일본 세무사</t>
  </si>
  <si>
    <t xml:space="preserve">Transfer Pricing Specialist</t>
  </si>
  <si>
    <t xml:space="preserve">Transfer pricing</t>
  </si>
  <si>
    <r>
      <rPr>
        <sz val="10"/>
        <rFont val="Arial"/>
        <family val="0"/>
        <charset val="1"/>
      </rPr>
      <t xml:space="preserve">No — </t>
    </r>
    <r>
      <rPr>
        <sz val="10"/>
        <rFont val="DejaVu Sans"/>
        <family val="2"/>
      </rPr>
      <t xml:space="preserve">다른 영역</t>
    </r>
  </si>
  <si>
    <r>
      <rPr>
        <sz val="10"/>
        <rFont val="Arial"/>
        <family val="0"/>
        <charset val="1"/>
      </rPr>
      <t xml:space="preserve">Cross-border</t>
    </r>
    <r>
      <rPr>
        <sz val="10"/>
        <rFont val="DejaVu Sans"/>
        <family val="2"/>
      </rPr>
      <t xml:space="preserve">이지만 </t>
    </r>
    <r>
      <rPr>
        <sz val="10"/>
        <rFont val="Arial"/>
        <family val="0"/>
        <charset val="1"/>
      </rPr>
      <t xml:space="preserve">POTAL </t>
    </r>
    <r>
      <rPr>
        <sz val="10"/>
        <rFont val="DejaVu Sans"/>
        <family val="2"/>
      </rPr>
      <t xml:space="preserve">범위 밖</t>
    </r>
  </si>
  <si>
    <t xml:space="preserve">POTAL Relevant?</t>
  </si>
  <si>
    <t xml:space="preserve">FIATA Diploma in Freight Forwarding</t>
  </si>
  <si>
    <t xml:space="preserve">FIATA</t>
  </si>
  <si>
    <t xml:space="preserve">Freight forwarding</t>
  </si>
  <si>
    <r>
      <rPr>
        <sz val="10"/>
        <rFont val="Arial"/>
        <family val="0"/>
        <charset val="1"/>
      </rPr>
      <t xml:space="preserve">Indirect — </t>
    </r>
    <r>
      <rPr>
        <sz val="10"/>
        <rFont val="DejaVu Sans"/>
        <family val="2"/>
      </rPr>
      <t xml:space="preserve">물류 파트너가 보유</t>
    </r>
  </si>
  <si>
    <t xml:space="preserve">국제 포워딩 표준 자격</t>
  </si>
  <si>
    <t xml:space="preserve">CILT International Certificate</t>
  </si>
  <si>
    <t xml:space="preserve">CILT</t>
  </si>
  <si>
    <t xml:space="preserve">Logistics &amp; transport</t>
  </si>
  <si>
    <t xml:space="preserve">Indirect</t>
  </si>
  <si>
    <t xml:space="preserve">영국 기반 국제 물류 자격</t>
  </si>
  <si>
    <t xml:space="preserve">APICS Certified Supply Chain Professional</t>
  </si>
  <si>
    <t xml:space="preserve">CSCP</t>
  </si>
  <si>
    <t xml:space="preserve">APICS/ASCM</t>
  </si>
  <si>
    <t xml:space="preserve">Supply chain management</t>
  </si>
  <si>
    <r>
      <rPr>
        <sz val="10"/>
        <rFont val="Arial"/>
        <family val="0"/>
        <charset val="1"/>
      </rPr>
      <t xml:space="preserve">SCM </t>
    </r>
    <r>
      <rPr>
        <sz val="10"/>
        <rFont val="DejaVu Sans"/>
        <family val="2"/>
      </rPr>
      <t xml:space="preserve">전반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관세 일부 포함</t>
    </r>
    <r>
      <rPr>
        <sz val="10"/>
        <rFont val="Arial"/>
        <family val="0"/>
        <charset val="1"/>
      </rPr>
      <t xml:space="preserve">)</t>
    </r>
  </si>
  <si>
    <t xml:space="preserve">APICS Certified Production &amp; Inventory</t>
  </si>
  <si>
    <t xml:space="preserve">CPIM</t>
  </si>
  <si>
    <t xml:space="preserve">Production &amp; inventory</t>
  </si>
  <si>
    <r>
      <rPr>
        <sz val="10"/>
        <rFont val="DejaVu Sans"/>
        <family val="2"/>
      </rPr>
      <t xml:space="preserve">생산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재고 관리</t>
    </r>
  </si>
  <si>
    <t xml:space="preserve">Certified Logistics Professional</t>
  </si>
  <si>
    <t xml:space="preserve">CLP</t>
  </si>
  <si>
    <t xml:space="preserve">Logistics operations</t>
  </si>
  <si>
    <t xml:space="preserve">물류 운영</t>
  </si>
  <si>
    <t xml:space="preserve">IATA Cargo Agent (CASS/TACT)</t>
  </si>
  <si>
    <t xml:space="preserve">Air cargo</t>
  </si>
  <si>
    <r>
      <rPr>
        <sz val="10"/>
        <rFont val="Arial"/>
        <family val="0"/>
        <charset val="1"/>
      </rPr>
      <t xml:space="preserve">Partial — </t>
    </r>
    <r>
      <rPr>
        <sz val="10"/>
        <rFont val="DejaVu Sans"/>
        <family val="2"/>
      </rPr>
      <t xml:space="preserve">위험물 분류</t>
    </r>
  </si>
  <si>
    <t xml:space="preserve">항공 화물 운송</t>
  </si>
  <si>
    <t xml:space="preserve">Customs-Trade Partnership Against Terrorism</t>
  </si>
  <si>
    <t xml:space="preserve">C-TPAT</t>
  </si>
  <si>
    <t xml:space="preserve">Supply chain security</t>
  </si>
  <si>
    <r>
      <rPr>
        <sz val="10"/>
        <rFont val="Arial"/>
        <family val="0"/>
        <charset val="1"/>
      </rPr>
      <t xml:space="preserve">Partial — </t>
    </r>
    <r>
      <rPr>
        <sz val="10"/>
        <rFont val="DejaVu Sans"/>
        <family val="2"/>
      </rPr>
      <t xml:space="preserve">제재 스크리닝</t>
    </r>
  </si>
  <si>
    <t xml:space="preserve">미국 공급망 보안</t>
  </si>
  <si>
    <t xml:space="preserve">Incoterms Certification</t>
  </si>
  <si>
    <t xml:space="preserve">ICC</t>
  </si>
  <si>
    <t xml:space="preserve">Trade terms</t>
  </si>
  <si>
    <t xml:space="preserve">Yes — D1 Incoterms API</t>
  </si>
  <si>
    <r>
      <rPr>
        <sz val="10"/>
        <rFont val="Arial"/>
        <family val="0"/>
        <charset val="1"/>
      </rPr>
      <t xml:space="preserve">POTAL Incoterms </t>
    </r>
    <r>
      <rPr>
        <sz val="10"/>
        <rFont val="DejaVu Sans"/>
        <family val="2"/>
      </rPr>
      <t xml:space="preserve">엔진 직접 대체</t>
    </r>
  </si>
  <si>
    <t xml:space="preserve">Dangerous Goods Safety Adviser</t>
  </si>
  <si>
    <t xml:space="preserve">DGSA</t>
  </si>
  <si>
    <t xml:space="preserve">National bodies</t>
  </si>
  <si>
    <t xml:space="preserve">Hazardous materials</t>
  </si>
  <si>
    <r>
      <rPr>
        <sz val="10"/>
        <rFont val="Arial"/>
        <family val="0"/>
        <charset val="1"/>
      </rPr>
      <t xml:space="preserve">Partial — </t>
    </r>
    <r>
      <rPr>
        <sz val="10"/>
        <rFont val="DejaVu Sans"/>
        <family val="2"/>
      </rPr>
      <t xml:space="preserve">제한물품 </t>
    </r>
    <r>
      <rPr>
        <sz val="10"/>
        <rFont val="Arial"/>
        <family val="0"/>
        <charset val="1"/>
      </rPr>
      <t xml:space="preserve">DB</t>
    </r>
  </si>
  <si>
    <r>
      <rPr>
        <sz val="10"/>
        <rFont val="Arial"/>
        <family val="0"/>
        <charset val="1"/>
      </rPr>
      <t xml:space="preserve">EU </t>
    </r>
    <r>
      <rPr>
        <sz val="10"/>
        <rFont val="DejaVu Sans"/>
        <family val="2"/>
      </rPr>
      <t xml:space="preserve">위험물 안전 자문</t>
    </r>
  </si>
  <si>
    <t xml:space="preserve">Test Name</t>
  </si>
  <si>
    <t xml:space="preserve">Dataset</t>
  </si>
  <si>
    <t xml:space="preserve">Size</t>
  </si>
  <si>
    <t xml:space="preserve">Method</t>
  </si>
  <si>
    <t xml:space="preserve">Status</t>
  </si>
  <si>
    <t xml:space="preserve">Expected Score</t>
  </si>
  <si>
    <t xml:space="preserve">Marketing Headline</t>
  </si>
  <si>
    <t xml:space="preserve">Effort</t>
  </si>
  <si>
    <t xml:space="preserve">Dependencies</t>
  </si>
  <si>
    <t xml:space="preserve">P0-1</t>
  </si>
  <si>
    <t xml:space="preserve">CBP 103-item Benchmark</t>
  </si>
  <si>
    <r>
      <rPr>
        <sz val="10"/>
        <rFont val="Arial"/>
        <family val="0"/>
        <charset val="1"/>
      </rPr>
      <t xml:space="preserve">arXiv:2412.14179 </t>
    </r>
    <r>
      <rPr>
        <sz val="10"/>
        <rFont val="DejaVu Sans"/>
        <family val="2"/>
      </rPr>
      <t xml:space="preserve">재현</t>
    </r>
  </si>
  <si>
    <r>
      <rPr>
        <sz val="10"/>
        <rFont val="Arial"/>
        <family val="0"/>
        <charset val="1"/>
      </rPr>
      <t xml:space="preserve">100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</si>
  <si>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POTAL /classify API </t>
    </r>
    <r>
      <rPr>
        <sz val="10"/>
        <rFont val="DejaVu Sans"/>
        <family val="2"/>
      </rPr>
      <t xml:space="preserve">호출 → </t>
    </r>
    <r>
      <rPr>
        <sz val="10"/>
        <rFont val="Arial"/>
        <family val="0"/>
        <charset val="1"/>
      </rPr>
      <t xml:space="preserve">HTS </t>
    </r>
    <r>
      <rPr>
        <sz val="10"/>
        <rFont val="DejaVu Sans"/>
        <family val="2"/>
      </rPr>
      <t xml:space="preserve">비교</t>
    </r>
  </si>
  <si>
    <t xml:space="preserve">85-92%</t>
  </si>
  <si>
    <t xml:space="preserve">"POTAL beats Avalara (80%) on CBP benchmark"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</si>
  <si>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일</t>
    </r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</si>
  <si>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정상화</t>
    </r>
  </si>
  <si>
    <t xml:space="preserve">P0-2</t>
  </si>
  <si>
    <t xml:space="preserve">CBLE Past Exam</t>
  </si>
  <si>
    <r>
      <rPr>
        <sz val="10"/>
        <rFont val="Arial"/>
        <family val="0"/>
        <charset val="1"/>
      </rPr>
      <t xml:space="preserve">CBP </t>
    </r>
    <r>
      <rPr>
        <sz val="10"/>
        <rFont val="DejaVu Sans"/>
        <family val="2"/>
      </rPr>
      <t xml:space="preserve">웹사이트 기출</t>
    </r>
  </si>
  <si>
    <r>
      <rPr>
        <sz val="10"/>
        <rFont val="Arial"/>
        <family val="0"/>
        <charset val="1"/>
      </rPr>
      <t xml:space="preserve">80</t>
    </r>
    <r>
      <rPr>
        <sz val="10"/>
        <rFont val="DejaVu Sans"/>
        <family val="2"/>
      </rPr>
      <t xml:space="preserve">문항 </t>
    </r>
    <r>
      <rPr>
        <sz val="10"/>
        <rFont val="Arial"/>
        <family val="0"/>
        <charset val="1"/>
      </rPr>
      <t xml:space="preserve">× N</t>
    </r>
    <r>
      <rPr>
        <sz val="10"/>
        <rFont val="DejaVu Sans"/>
        <family val="2"/>
      </rPr>
      <t xml:space="preserve">회분</t>
    </r>
  </si>
  <si>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분류 문제만 추출 →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</t>
    </r>
  </si>
  <si>
    <r>
      <rPr>
        <sz val="10"/>
        <rFont val="Arial"/>
        <family val="0"/>
        <charset val="1"/>
      </rPr>
      <t xml:space="preserve">CBP</t>
    </r>
    <r>
      <rPr>
        <sz val="10"/>
        <rFont val="DejaVu Sans"/>
        <family val="2"/>
      </rPr>
      <t xml:space="preserve">에서 다운로드 필요</t>
    </r>
  </si>
  <si>
    <t xml:space="preserve">70-85%</t>
  </si>
  <si>
    <t xml:space="preserve">"AI passes US Customs Broker Exam"</t>
  </si>
  <si>
    <r>
      <rPr>
        <sz val="10"/>
        <rFont val="Arial"/>
        <family val="0"/>
        <charset val="1"/>
      </rPr>
      <t xml:space="preserve">2-3</t>
    </r>
    <r>
      <rPr>
        <sz val="10"/>
        <rFont val="DejaVu Sans"/>
        <family val="2"/>
      </rPr>
      <t xml:space="preserve">일</t>
    </r>
  </si>
  <si>
    <t xml:space="preserve">기출 다운로드</t>
  </si>
  <si>
    <t xml:space="preserve">P0-3</t>
  </si>
  <si>
    <t xml:space="preserve">CBP CROSS Full Test</t>
  </si>
  <si>
    <r>
      <rPr>
        <sz val="10"/>
        <rFont val="Arial"/>
        <family val="0"/>
        <charset val="1"/>
      </rPr>
      <t xml:space="preserve">CBP CROSS 142,251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</si>
  <si>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142,251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</si>
  <si>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product_name → classify → CBP HTS </t>
    </r>
    <r>
      <rPr>
        <sz val="10"/>
        <rFont val="DejaVu Sans"/>
        <family val="2"/>
      </rPr>
      <t xml:space="preserve">비교</t>
    </r>
  </si>
  <si>
    <t xml:space="preserve">데이터 추출 완료</t>
  </si>
  <si>
    <t xml:space="preserve">60-75%</t>
  </si>
  <si>
    <t xml:space="preserve">"Tested against 142K CBP rulings"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</si>
  <si>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일 </t>
    </r>
    <r>
      <rPr>
        <sz val="10"/>
        <rFont val="Arial"/>
        <family val="0"/>
        <charset val="1"/>
      </rPr>
      <t xml:space="preserve">(</t>
    </r>
    <r>
      <rPr>
        <sz val="10"/>
        <rFont val="DejaVu Sans"/>
        <family val="2"/>
      </rPr>
      <t xml:space="preserve">자동화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</si>
  <si>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DB </t>
    </r>
    <r>
      <rPr>
        <sz val="10"/>
        <rFont val="DejaVu Sans"/>
        <family val="2"/>
      </rPr>
      <t xml:space="preserve">적재</t>
    </r>
  </si>
  <si>
    <t xml:space="preserve">P0-4</t>
  </si>
  <si>
    <t xml:space="preserve">EU EBTI Validation</t>
  </si>
  <si>
    <t xml:space="preserve">EBTI 50K-100K rulings</t>
  </si>
  <si>
    <t xml:space="preserve">50K+</t>
  </si>
  <si>
    <r>
      <rPr>
        <sz val="10"/>
        <rFont val="Arial"/>
        <family val="0"/>
        <charset val="1"/>
      </rPr>
      <t xml:space="preserve">Product desc → classify → CN code </t>
    </r>
    <r>
      <rPr>
        <sz val="10"/>
        <rFont val="DejaVu Sans"/>
        <family val="2"/>
      </rPr>
      <t xml:space="preserve">비교</t>
    </r>
  </si>
  <si>
    <r>
      <rPr>
        <sz val="10"/>
        <rFont val="Arial"/>
        <family val="0"/>
        <charset val="1"/>
      </rPr>
      <t xml:space="preserve">Cron </t>
    </r>
    <r>
      <rPr>
        <sz val="10"/>
        <rFont val="DejaVu Sans"/>
        <family val="2"/>
      </rPr>
      <t xml:space="preserve">구현</t>
    </r>
    <r>
      <rPr>
        <sz val="10"/>
        <rFont val="Arial"/>
        <family val="0"/>
        <charset val="1"/>
      </rPr>
      <t xml:space="preserve">, </t>
    </r>
    <r>
      <rPr>
        <sz val="10"/>
        <rFont val="DejaVu Sans"/>
        <family val="2"/>
      </rPr>
      <t xml:space="preserve">데이터 수집 필요</t>
    </r>
  </si>
  <si>
    <t xml:space="preserve">55-70%</t>
  </si>
  <si>
    <t xml:space="preserve">"Validated against EU official rulings"</t>
  </si>
  <si>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주</t>
    </r>
  </si>
  <si>
    <r>
      <rPr>
        <sz val="10"/>
        <rFont val="Arial"/>
        <family val="0"/>
        <charset val="1"/>
      </rPr>
      <t xml:space="preserve">EBTI </t>
    </r>
    <r>
      <rPr>
        <sz val="10"/>
        <rFont val="DejaVu Sans"/>
        <family val="2"/>
      </rPr>
      <t xml:space="preserve">데이터 수집</t>
    </r>
  </si>
  <si>
    <t xml:space="preserve">P1-1</t>
  </si>
  <si>
    <t xml:space="preserve">ATLAS 18K Benchmark</t>
  </si>
  <si>
    <r>
      <rPr>
        <sz val="10"/>
        <rFont val="Arial"/>
        <family val="0"/>
        <charset val="1"/>
      </rPr>
      <t xml:space="preserve">18,731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</si>
  <si>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ATLAS </t>
    </r>
    <r>
      <rPr>
        <sz val="10"/>
        <rFont val="DejaVu Sans"/>
        <family val="2"/>
      </rPr>
      <t xml:space="preserve">데이터셋 →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</t>
    </r>
  </si>
  <si>
    <t xml:space="preserve">50-65% (6-digit)</t>
  </si>
  <si>
    <t xml:space="preserve">"POTAL vs LLaMA-70B on 18K items"</t>
  </si>
  <si>
    <r>
      <rPr>
        <sz val="10"/>
        <rFont val="Arial"/>
        <family val="0"/>
        <charset val="1"/>
      </rPr>
      <t xml:space="preserve">3-5</t>
    </r>
    <r>
      <rPr>
        <sz val="10"/>
        <rFont val="DejaVu Sans"/>
        <family val="2"/>
      </rPr>
      <t xml:space="preserve">일</t>
    </r>
  </si>
  <si>
    <t xml:space="preserve">논문 데이터셋 접근</t>
  </si>
  <si>
    <t xml:space="preserve">P1-2</t>
  </si>
  <si>
    <t xml:space="preserve">HSCodeComp Benchmark</t>
  </si>
  <si>
    <t xml:space="preserve">학술 논문</t>
  </si>
  <si>
    <r>
      <rPr>
        <sz val="10"/>
        <rFont val="Arial"/>
        <family val="0"/>
        <charset val="1"/>
      </rPr>
      <t xml:space="preserve">632</t>
    </r>
    <r>
      <rPr>
        <sz val="10"/>
        <rFont val="DejaVu Sans"/>
        <family val="2"/>
      </rPr>
      <t xml:space="preserve">건</t>
    </r>
  </si>
  <si>
    <r>
      <rPr>
        <sz val="10"/>
        <rFont val="Arial"/>
        <family val="0"/>
        <charset val="1"/>
      </rPr>
      <t xml:space="preserve">632 </t>
    </r>
    <r>
      <rPr>
        <sz val="10"/>
        <rFont val="DejaVu Sans"/>
        <family val="2"/>
      </rPr>
      <t xml:space="preserve">상품 →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</t>
    </r>
  </si>
  <si>
    <t xml:space="preserve">65-80%</t>
  </si>
  <si>
    <t xml:space="preserve">"E-commerce product classification accuracy"</t>
  </si>
  <si>
    <t xml:space="preserve">P1-3</t>
  </si>
  <si>
    <r>
      <rPr>
        <sz val="10"/>
        <rFont val="Arial"/>
        <family val="0"/>
        <charset val="1"/>
      </rPr>
      <t xml:space="preserve">200+ </t>
    </r>
    <r>
      <rPr>
        <sz val="10"/>
        <rFont val="DejaVu Sans"/>
        <family val="2"/>
      </rPr>
      <t xml:space="preserve">문항</t>
    </r>
  </si>
  <si>
    <r>
      <rPr>
        <sz val="10"/>
        <rFont val="Arial"/>
        <family val="0"/>
        <charset val="1"/>
      </rPr>
      <t xml:space="preserve">HS </t>
    </r>
    <r>
      <rPr>
        <sz val="10"/>
        <rFont val="DejaVu Sans"/>
        <family val="2"/>
      </rPr>
      <t xml:space="preserve">분류 문제 추출 →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호출</t>
    </r>
  </si>
  <si>
    <t xml:space="preserve">기출 다운로드 필요</t>
  </si>
  <si>
    <r>
      <rPr>
        <sz val="10"/>
        <rFont val="Arial"/>
        <family val="0"/>
        <charset val="1"/>
      </rPr>
      <t xml:space="preserve">"AI, </t>
    </r>
    <r>
      <rPr>
        <sz val="10"/>
        <rFont val="DejaVu Sans"/>
        <family val="2"/>
      </rPr>
      <t xml:space="preserve">한국 관세사 시험 </t>
    </r>
    <r>
      <rPr>
        <sz val="10"/>
        <rFont val="Arial"/>
        <family val="0"/>
        <charset val="1"/>
      </rPr>
      <t xml:space="preserve">XX</t>
    </r>
    <r>
      <rPr>
        <sz val="10"/>
        <rFont val="DejaVu Sans"/>
        <family val="2"/>
      </rPr>
      <t xml:space="preserve">점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</si>
  <si>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3</t>
    </r>
    <r>
      <rPr>
        <sz val="10"/>
        <rFont val="DejaVu Sans"/>
        <family val="2"/>
      </rPr>
      <t xml:space="preserve">일</t>
    </r>
  </si>
  <si>
    <t xml:space="preserve">P1-4</t>
  </si>
  <si>
    <r>
      <rPr>
        <sz val="10"/>
        <rFont val="Arial"/>
        <family val="0"/>
        <charset val="1"/>
      </rPr>
      <t xml:space="preserve">~60 </t>
    </r>
    <r>
      <rPr>
        <sz val="10"/>
        <rFont val="DejaVu Sans"/>
        <family val="2"/>
      </rPr>
      <t xml:space="preserve">문항</t>
    </r>
    <r>
      <rPr>
        <sz val="10"/>
        <rFont val="Arial"/>
        <family val="0"/>
        <charset val="1"/>
      </rPr>
      <t xml:space="preserve">/</t>
    </r>
    <r>
      <rPr>
        <sz val="10"/>
        <rFont val="DejaVu Sans"/>
        <family val="2"/>
      </rPr>
      <t xml:space="preserve">년</t>
    </r>
  </si>
  <si>
    <r>
      <rPr>
        <sz val="10"/>
        <rFont val="Arial"/>
        <family val="0"/>
        <charset val="1"/>
      </rPr>
      <t xml:space="preserve">"AI</t>
    </r>
    <r>
      <rPr>
        <sz val="10"/>
        <rFont val="DejaVu Sans"/>
        <family val="2"/>
      </rPr>
      <t xml:space="preserve">、通関士試験</t>
    </r>
    <r>
      <rPr>
        <sz val="10"/>
        <rFont val="Arial"/>
        <family val="0"/>
        <charset val="1"/>
      </rPr>
      <t xml:space="preserve">XX</t>
    </r>
    <r>
      <rPr>
        <sz val="10"/>
        <rFont val="DejaVu Sans"/>
        <family val="2"/>
      </rPr>
      <t xml:space="preserve">点</t>
    </r>
    <r>
      <rPr>
        <sz val="10"/>
        <rFont val="Arial"/>
        <family val="0"/>
        <charset val="1"/>
      </rPr>
      <t xml:space="preserve">"</t>
    </r>
  </si>
  <si>
    <t xml:space="preserve">P2-1</t>
  </si>
  <si>
    <t xml:space="preserve">G2 / Capterra Listing</t>
  </si>
  <si>
    <r>
      <rPr>
        <sz val="10"/>
        <rFont val="DejaVu Sans"/>
        <family val="2"/>
      </rPr>
      <t xml:space="preserve">프로필 생성 </t>
    </r>
    <r>
      <rPr>
        <sz val="10"/>
        <rFont val="Arial"/>
        <family val="0"/>
        <charset val="1"/>
      </rPr>
      <t xml:space="preserve">+ </t>
    </r>
    <r>
      <rPr>
        <sz val="10"/>
        <rFont val="DejaVu Sans"/>
        <family val="2"/>
      </rPr>
      <t xml:space="preserve">리뷰 요청</t>
    </r>
  </si>
  <si>
    <t xml:space="preserve">고객 필요</t>
  </si>
  <si>
    <t xml:space="preserve">"Top Rated on G2"</t>
  </si>
  <si>
    <t xml:space="preserve">지속적</t>
  </si>
  <si>
    <r>
      <rPr>
        <sz val="10"/>
        <rFont val="DejaVu Sans"/>
        <family val="2"/>
      </rPr>
      <t xml:space="preserve">첫 유료 고객 </t>
    </r>
    <r>
      <rPr>
        <sz val="10"/>
        <rFont val="Arial"/>
        <family val="0"/>
        <charset val="1"/>
      </rPr>
      <t xml:space="preserve">10</t>
    </r>
    <r>
      <rPr>
        <sz val="10"/>
        <rFont val="DejaVu Sans"/>
        <family val="2"/>
      </rPr>
      <t xml:space="preserve">개</t>
    </r>
  </si>
  <si>
    <t xml:space="preserve">P2-2</t>
  </si>
  <si>
    <t xml:space="preserve">SOC 2 Type II</t>
  </si>
  <si>
    <t xml:space="preserve">감사 프로세스</t>
  </si>
  <si>
    <t xml:space="preserve">미착수</t>
  </si>
  <si>
    <t xml:space="preserve">"SOC 2 Type II Certified"</t>
  </si>
  <si>
    <r>
      <rPr>
        <sz val="10"/>
        <rFont val="Arial"/>
        <family val="0"/>
        <charset val="1"/>
      </rPr>
      <t xml:space="preserve">3-6</t>
    </r>
    <r>
      <rPr>
        <sz val="10"/>
        <rFont val="DejaVu Sans"/>
        <family val="2"/>
      </rPr>
      <t xml:space="preserve">개월</t>
    </r>
  </si>
  <si>
    <t xml:space="preserve">매출 발생 후</t>
  </si>
  <si>
    <t xml:space="preserve">Knowledge Domain</t>
  </si>
  <si>
    <t xml:space="preserve">Human Expert</t>
  </si>
  <si>
    <t xml:space="preserve">Avg Salary (US)</t>
  </si>
  <si>
    <t xml:space="preserve">Competitors Who Hire</t>
  </si>
  <si>
    <t xml:space="preserve">POTAL Feature That Replaces</t>
  </si>
  <si>
    <t xml:space="preserve">Automation Level</t>
  </si>
  <si>
    <t xml:space="preserve">HS Code Classification</t>
  </si>
  <si>
    <t xml:space="preserve">Customs Broker / Classification Specialist</t>
  </si>
  <si>
    <t xml:space="preserve">$65,000-95,000</t>
  </si>
  <si>
    <t xml:space="preserve">Avalara, Global-e, Zonos, SimplyDuty</t>
  </si>
  <si>
    <t xml:space="preserve">AI Classifier (3-stage: WDC→Vector→LLM)</t>
  </si>
  <si>
    <t xml:space="preserve">100% (DB + AI fallback)</t>
  </si>
  <si>
    <t xml:space="preserve">Duty Rate Lookup</t>
  </si>
  <si>
    <t xml:space="preserve">Trade Compliance Analyst</t>
  </si>
  <si>
    <t xml:space="preserve">$55,000-80,000</t>
  </si>
  <si>
    <t xml:space="preserve">Avalara, Global-e, DHL</t>
  </si>
  <si>
    <r>
      <rPr>
        <sz val="10"/>
        <rFont val="Arial"/>
        <family val="0"/>
        <charset val="1"/>
      </rPr>
      <t xml:space="preserve">MFN/MIN/AGR 113M+ rates, 7</t>
    </r>
    <r>
      <rPr>
        <sz val="10"/>
        <rFont val="DejaVu Sans"/>
        <family val="2"/>
      </rPr>
      <t xml:space="preserve">개국 정부 </t>
    </r>
    <r>
      <rPr>
        <sz val="10"/>
        <rFont val="Arial"/>
        <family val="0"/>
        <charset val="1"/>
      </rPr>
      <t xml:space="preserve">API</t>
    </r>
  </si>
  <si>
    <t xml:space="preserve">100% (DB lookup)</t>
  </si>
  <si>
    <t xml:space="preserve">FTA / RoO Analysis</t>
  </si>
  <si>
    <t xml:space="preserve">FTA Specialist / Trade Attorney</t>
  </si>
  <si>
    <t xml:space="preserve">$80,000-150,000</t>
  </si>
  <si>
    <t xml:space="preserve">Global-e, Avalara</t>
  </si>
  <si>
    <t xml:space="preserve">63 FTA + RoO Engine</t>
  </si>
  <si>
    <r>
      <rPr>
        <sz val="10"/>
        <rFont val="Arial"/>
        <family val="0"/>
        <charset val="1"/>
      </rPr>
      <t xml:space="preserve">95% (</t>
    </r>
    <r>
      <rPr>
        <sz val="10"/>
        <rFont val="DejaVu Sans"/>
        <family val="2"/>
      </rPr>
      <t xml:space="preserve">규칙 기반 </t>
    </r>
    <r>
      <rPr>
        <sz val="10"/>
        <rFont val="Arial"/>
        <family val="0"/>
        <charset val="1"/>
      </rPr>
      <t xml:space="preserve">+ AI)</t>
    </r>
  </si>
  <si>
    <t xml:space="preserve">VAT/GST Calculation</t>
  </si>
  <si>
    <t xml:space="preserve">Tax Accountant / VAT Specialist</t>
  </si>
  <si>
    <t xml:space="preserve">$60,000-100,000</t>
  </si>
  <si>
    <t xml:space="preserve">Avalara, TaxJar, Global-e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</si>
  <si>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</t>
    </r>
    <r>
      <rPr>
        <sz val="10"/>
        <rFont val="Arial"/>
        <family val="0"/>
        <charset val="1"/>
      </rPr>
      <t xml:space="preserve">VAT/GST + de minimis + IOSS</t>
    </r>
  </si>
  <si>
    <r>
      <rPr>
        <sz val="10"/>
        <rFont val="Arial"/>
        <family val="0"/>
        <charset val="1"/>
      </rPr>
      <t xml:space="preserve">100% (DB + </t>
    </r>
    <r>
      <rPr>
        <sz val="10"/>
        <rFont val="DejaVu Sans"/>
        <family val="2"/>
      </rPr>
      <t xml:space="preserve">규칙</t>
    </r>
    <r>
      <rPr>
        <sz val="10"/>
        <rFont val="Arial"/>
        <family val="0"/>
        <charset val="1"/>
      </rPr>
      <t xml:space="preserve">)</t>
    </r>
  </si>
  <si>
    <t xml:space="preserve">Trade Remedy (AD/CVD)</t>
  </si>
  <si>
    <t xml:space="preserve">Trade Remedy Attorney</t>
  </si>
  <si>
    <t xml:space="preserve">$120,000-200,000</t>
  </si>
  <si>
    <t xml:space="preserve">Avalara (limited)</t>
  </si>
  <si>
    <r>
      <rPr>
        <sz val="10"/>
        <rFont val="Arial"/>
        <family val="0"/>
        <charset val="1"/>
      </rPr>
      <t xml:space="preserve">119,706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AD/CVD/Safeguard DB</t>
    </r>
  </si>
  <si>
    <t xml:space="preserve">Sanctions Screening</t>
  </si>
  <si>
    <t xml:space="preserve">Compliance Officer</t>
  </si>
  <si>
    <t xml:space="preserve">$70,000-120,000</t>
  </si>
  <si>
    <t xml:space="preserve">Global-e, Passport</t>
  </si>
  <si>
    <r>
      <rPr>
        <sz val="10"/>
        <rFont val="Arial"/>
        <family val="0"/>
        <charset val="1"/>
      </rPr>
      <t xml:space="preserve">21,301</t>
    </r>
    <r>
      <rPr>
        <sz val="10"/>
        <rFont val="DejaVu Sans"/>
        <family val="2"/>
      </rPr>
      <t xml:space="preserve">건 </t>
    </r>
    <r>
      <rPr>
        <sz val="10"/>
        <rFont val="Arial"/>
        <family val="0"/>
        <charset val="1"/>
      </rPr>
      <t xml:space="preserve">OFAC SDN + CSL</t>
    </r>
  </si>
  <si>
    <t xml:space="preserve">100% (fuzzy matching)</t>
  </si>
  <si>
    <t xml:space="preserve">Export Controls (EAR/ITAR)</t>
  </si>
  <si>
    <t xml:space="preserve">Export Compliance Officer</t>
  </si>
  <si>
    <t xml:space="preserve">$80,000-130,000</t>
  </si>
  <si>
    <t xml:space="preserve">Few competitors</t>
  </si>
  <si>
    <t xml:space="preserve">ECCN Classification + Export Control API</t>
  </si>
  <si>
    <r>
      <rPr>
        <sz val="10"/>
        <rFont val="Arial"/>
        <family val="0"/>
        <charset val="1"/>
      </rPr>
      <t xml:space="preserve">80% (</t>
    </r>
    <r>
      <rPr>
        <sz val="10"/>
        <rFont val="DejaVu Sans"/>
        <family val="2"/>
      </rPr>
      <t xml:space="preserve">규정 복잡</t>
    </r>
    <r>
      <rPr>
        <sz val="10"/>
        <rFont val="Arial"/>
        <family val="0"/>
        <charset val="1"/>
      </rPr>
      <t xml:space="preserve">)</t>
    </r>
  </si>
  <si>
    <t xml:space="preserve">Customs Valuation</t>
  </si>
  <si>
    <t xml:space="preserve">Valuation Specialist</t>
  </si>
  <si>
    <t xml:space="preserve">Global-e, DHL</t>
  </si>
  <si>
    <t xml:space="preserve">Customs Valuation Engine (6 methods)</t>
  </si>
  <si>
    <t xml:space="preserve">95%</t>
  </si>
  <si>
    <t xml:space="preserve">Trade Documentation</t>
  </si>
  <si>
    <t xml:space="preserve">Documentation Specialist</t>
  </si>
  <si>
    <t xml:space="preserve">$40,000-60,000</t>
  </si>
  <si>
    <t xml:space="preserve">DHL, Easyship</t>
  </si>
  <si>
    <t xml:space="preserve">Auto-populate CI/PL/CoO + PDF Gen</t>
  </si>
  <si>
    <r>
      <rPr>
        <sz val="10"/>
        <rFont val="Arial"/>
        <family val="0"/>
        <charset val="1"/>
      </rPr>
      <t xml:space="preserve">100% (</t>
    </r>
    <r>
      <rPr>
        <sz val="10"/>
        <rFont val="DejaVu Sans"/>
        <family val="2"/>
      </rPr>
      <t xml:space="preserve">템플릿 기반</t>
    </r>
    <r>
      <rPr>
        <sz val="10"/>
        <rFont val="Arial"/>
        <family val="0"/>
        <charset val="1"/>
      </rPr>
      <t xml:space="preserve">)</t>
    </r>
  </si>
  <si>
    <t xml:space="preserve">Country Regulations</t>
  </si>
  <si>
    <t xml:space="preserve">Regulatory Analyst</t>
  </si>
  <si>
    <t xml:space="preserve">$60,000-90,000</t>
  </si>
  <si>
    <r>
      <rPr>
        <sz val="10"/>
        <rFont val="Arial"/>
        <family val="0"/>
        <charset val="1"/>
      </rPr>
      <t xml:space="preserve">240</t>
    </r>
    <r>
      <rPr>
        <sz val="10"/>
        <rFont val="DejaVu Sans"/>
        <family val="2"/>
      </rPr>
      <t xml:space="preserve">개국 규정 </t>
    </r>
    <r>
      <rPr>
        <sz val="10"/>
        <rFont val="Arial"/>
        <family val="0"/>
        <charset val="1"/>
      </rPr>
      <t xml:space="preserve">RAG (60+ sources)</t>
    </r>
  </si>
  <si>
    <t xml:space="preserve">D4</t>
  </si>
  <si>
    <r>
      <rPr>
        <sz val="10"/>
        <rFont val="Arial"/>
        <family val="0"/>
        <charset val="1"/>
      </rPr>
      <t xml:space="preserve">90% (RAG </t>
    </r>
    <r>
      <rPr>
        <sz val="10"/>
        <rFont val="DejaVu Sans"/>
        <family val="2"/>
      </rPr>
      <t xml:space="preserve">확장 중</t>
    </r>
    <r>
      <rPr>
        <sz val="10"/>
        <rFont val="Arial"/>
        <family val="0"/>
        <charset val="1"/>
      </rPr>
      <t xml:space="preserve">)</t>
    </r>
  </si>
  <si>
    <t xml:space="preserve">Dangerous Goods</t>
  </si>
  <si>
    <t xml:space="preserve">DG Specialist (IATA certified)</t>
  </si>
  <si>
    <t xml:space="preserve">$55,000-85,000</t>
  </si>
  <si>
    <t xml:space="preserve">Product Restrictions DB</t>
  </si>
  <si>
    <t xml:space="preserve">85%</t>
  </si>
  <si>
    <t xml:space="preserve">Incoterms Advisory</t>
  </si>
  <si>
    <t xml:space="preserve">Trade Consultant</t>
  </si>
  <si>
    <t xml:space="preserve">$70,000-110,000</t>
  </si>
  <si>
    <t xml:space="preserve">Incoterms API + DDP vs DDU Calculator</t>
  </si>
  <si>
    <t xml:space="preserve">100%</t>
  </si>
  <si>
    <t xml:space="preserve">Who Holds It</t>
  </si>
  <si>
    <t xml:space="preserve">Why They Need It</t>
  </si>
  <si>
    <t xml:space="preserve">How POTAL Helps Them</t>
  </si>
  <si>
    <t xml:space="preserve">Import/Export managers</t>
  </si>
  <si>
    <t xml:space="preserve">Cross-border trade knowledge</t>
  </si>
  <si>
    <r>
      <rPr>
        <sz val="10"/>
        <rFont val="Arial"/>
        <family val="0"/>
        <charset val="1"/>
      </rPr>
      <t xml:space="preserve">POTAL API</t>
    </r>
    <r>
      <rPr>
        <sz val="10"/>
        <rFont val="DejaVu Sans"/>
        <family val="2"/>
      </rPr>
      <t xml:space="preserve">가 관세</t>
    </r>
    <r>
      <rPr>
        <sz val="10"/>
        <rFont val="Arial"/>
        <family val="0"/>
        <charset val="1"/>
      </rPr>
      <t xml:space="preserve">/VAT </t>
    </r>
    <r>
      <rPr>
        <sz val="10"/>
        <rFont val="DejaVu Sans"/>
        <family val="2"/>
      </rPr>
      <t xml:space="preserve">자동 계산 → 전문 지식 불필요</t>
    </r>
  </si>
  <si>
    <r>
      <rPr>
        <sz val="10"/>
        <rFont val="Arial"/>
        <family val="0"/>
        <charset val="1"/>
      </rPr>
      <t xml:space="preserve">FITT (Canada) </t>
    </r>
    <r>
      <rPr>
        <sz val="10"/>
        <rFont val="DejaVu Sans"/>
        <family val="2"/>
      </rPr>
      <t xml:space="preserve">발급</t>
    </r>
  </si>
  <si>
    <t xml:space="preserve">Small business exporters</t>
  </si>
  <si>
    <t xml:space="preserve">Global market entry</t>
  </si>
  <si>
    <r>
      <rPr>
        <sz val="10"/>
        <rFont val="Arial"/>
        <family val="0"/>
        <charset val="1"/>
      </rPr>
      <t xml:space="preserve">Landed cost </t>
    </r>
    <r>
      <rPr>
        <sz val="10"/>
        <rFont val="DejaVu Sans"/>
        <family val="2"/>
      </rPr>
      <t xml:space="preserve">위젯으로 해외 가격 자동 표시</t>
    </r>
  </si>
  <si>
    <r>
      <rPr>
        <sz val="10"/>
        <rFont val="Arial"/>
        <family val="0"/>
        <charset val="1"/>
      </rPr>
      <t xml:space="preserve">NASBITE </t>
    </r>
    <r>
      <rPr>
        <sz val="10"/>
        <rFont val="DejaVu Sans"/>
        <family val="2"/>
      </rPr>
      <t xml:space="preserve">발급</t>
    </r>
    <r>
      <rPr>
        <sz val="10"/>
        <rFont val="Arial"/>
        <family val="0"/>
        <charset val="1"/>
      </rPr>
      <t xml:space="preserve">, 4</t>
    </r>
    <r>
      <rPr>
        <sz val="10"/>
        <rFont val="DejaVu Sans"/>
        <family val="2"/>
      </rPr>
      <t xml:space="preserve">개 도메인</t>
    </r>
  </si>
  <si>
    <t xml:space="preserve">Certified Import/Export Compliance Officer</t>
  </si>
  <si>
    <t xml:space="preserve">Compliance teams at importers</t>
  </si>
  <si>
    <t xml:space="preserve">Regulatory compliance</t>
  </si>
  <si>
    <t xml:space="preserve">Sanctions + restrictions + export control API</t>
  </si>
  <si>
    <t xml:space="preserve">대기업 컴플라이언스 팀</t>
  </si>
  <si>
    <t xml:space="preserve">Frequent importers/exporters</t>
  </si>
  <si>
    <t xml:space="preserve">통관 간소화</t>
  </si>
  <si>
    <r>
      <rPr>
        <sz val="10"/>
        <rFont val="Arial"/>
        <family val="0"/>
        <charset val="1"/>
      </rPr>
      <t xml:space="preserve">AEO </t>
    </r>
    <r>
      <rPr>
        <sz val="10"/>
        <rFont val="DejaVu Sans"/>
        <family val="2"/>
      </rPr>
      <t xml:space="preserve">신청 서류 자동 생성 지원</t>
    </r>
  </si>
  <si>
    <r>
      <rPr>
        <sz val="10"/>
        <rFont val="Arial"/>
        <family val="0"/>
        <charset val="1"/>
      </rPr>
      <t xml:space="preserve">EU/UK/</t>
    </r>
    <r>
      <rPr>
        <sz val="10"/>
        <rFont val="DejaVu Sans"/>
        <family val="2"/>
      </rPr>
      <t xml:space="preserve">한국 등 상호인정</t>
    </r>
  </si>
  <si>
    <t xml:space="preserve">Customs Power of Attorney</t>
  </si>
  <si>
    <t xml:space="preserve">Any importer (US)</t>
  </si>
  <si>
    <r>
      <rPr>
        <sz val="10"/>
        <rFont val="Arial"/>
        <family val="0"/>
        <charset val="1"/>
      </rPr>
      <t xml:space="preserve">Broker </t>
    </r>
    <r>
      <rPr>
        <sz val="10"/>
        <rFont val="DejaVu Sans"/>
        <family val="2"/>
      </rPr>
      <t xml:space="preserve">위임</t>
    </r>
  </si>
  <si>
    <r>
      <rPr>
        <sz val="10"/>
        <rFont val="Arial"/>
        <family val="0"/>
        <charset val="1"/>
      </rPr>
      <t xml:space="preserve">POTAL</t>
    </r>
    <r>
      <rPr>
        <sz val="10"/>
        <rFont val="DejaVu Sans"/>
        <family val="2"/>
      </rPr>
      <t xml:space="preserve">이 브로커 역할 일부 대체</t>
    </r>
  </si>
  <si>
    <r>
      <rPr>
        <sz val="10"/>
        <rFont val="Arial"/>
        <family val="0"/>
        <charset val="1"/>
      </rPr>
      <t xml:space="preserve">Form 5291 </t>
    </r>
    <r>
      <rPr>
        <sz val="10"/>
        <rFont val="DejaVu Sans"/>
        <family val="2"/>
      </rPr>
      <t xml:space="preserve">자동 생성 가능</t>
    </r>
  </si>
  <si>
    <t xml:space="preserve">Importer of Record</t>
  </si>
  <si>
    <t xml:space="preserve">IOR</t>
  </si>
  <si>
    <t xml:space="preserve">Companies importing goods</t>
  </si>
  <si>
    <t xml:space="preserve">수입자 등록</t>
  </si>
  <si>
    <r>
      <rPr>
        <sz val="10"/>
        <rFont val="Arial"/>
        <family val="0"/>
        <charset val="1"/>
      </rPr>
      <t xml:space="preserve">Landed cost + </t>
    </r>
    <r>
      <rPr>
        <sz val="10"/>
        <rFont val="DejaVu Sans"/>
        <family val="2"/>
      </rPr>
      <t xml:space="preserve">서류 자동화로 </t>
    </r>
    <r>
      <rPr>
        <sz val="10"/>
        <rFont val="Arial"/>
        <family val="0"/>
        <charset val="1"/>
      </rPr>
      <t xml:space="preserve">IOR </t>
    </r>
    <r>
      <rPr>
        <sz val="10"/>
        <rFont val="DejaVu Sans"/>
        <family val="2"/>
      </rPr>
      <t xml:space="preserve">부담 경감</t>
    </r>
  </si>
  <si>
    <t xml:space="preserve">국가별 요건 상이</t>
  </si>
  <si>
    <t xml:space="preserve">Platform</t>
  </si>
  <si>
    <t xml:space="preserve">How to Get Listed</t>
  </si>
  <si>
    <t xml:space="preserve">Requirements</t>
  </si>
  <si>
    <t xml:space="preserve">Competitors Listed</t>
  </si>
  <si>
    <t xml:space="preserve">G2</t>
  </si>
  <si>
    <t xml:space="preserve">Peer Review</t>
  </si>
  <si>
    <t xml:space="preserve">Global Trade Management</t>
  </si>
  <si>
    <t xml:space="preserve">Create profile + get 10+ reviews</t>
  </si>
  <si>
    <t xml:space="preserve">10 verified reviews minimum</t>
  </si>
  <si>
    <r>
      <rPr>
        <sz val="10"/>
        <rFont val="Arial"/>
        <family val="0"/>
        <charset val="1"/>
      </rPr>
      <t xml:space="preserve">P2 (</t>
    </r>
    <r>
      <rPr>
        <sz val="10"/>
        <rFont val="DejaVu Sans"/>
        <family val="2"/>
      </rPr>
      <t xml:space="preserve">고객 후</t>
    </r>
    <r>
      <rPr>
        <sz val="10"/>
        <rFont val="Arial"/>
        <family val="0"/>
        <charset val="1"/>
      </rPr>
      <t xml:space="preserve">)</t>
    </r>
  </si>
  <si>
    <t xml:space="preserve">Avalara, TaxJar, Zonos</t>
  </si>
  <si>
    <r>
      <rPr>
        <sz val="10"/>
        <rFont val="DejaVu Sans"/>
        <family val="2"/>
      </rPr>
      <t xml:space="preserve">가장 영향력 있는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리뷰 플랫폼</t>
    </r>
  </si>
  <si>
    <t xml:space="preserve">Capterra</t>
  </si>
  <si>
    <t xml:space="preserve">Trade Compliance</t>
  </si>
  <si>
    <t xml:space="preserve">Create profile + reviews</t>
  </si>
  <si>
    <t xml:space="preserve">무료 등록</t>
  </si>
  <si>
    <t xml:space="preserve">Avalara, SimplyDuty</t>
  </si>
  <si>
    <r>
      <rPr>
        <sz val="10"/>
        <rFont val="Arial"/>
        <family val="0"/>
        <charset val="1"/>
      </rPr>
      <t xml:space="preserve">Gartner </t>
    </r>
    <r>
      <rPr>
        <sz val="10"/>
        <rFont val="DejaVu Sans"/>
        <family val="2"/>
      </rPr>
      <t xml:space="preserve">소유</t>
    </r>
  </si>
  <si>
    <t xml:space="preserve">TrustRadius</t>
  </si>
  <si>
    <t xml:space="preserve">Trade Management</t>
  </si>
  <si>
    <t xml:space="preserve">Vendor profile + reviews</t>
  </si>
  <si>
    <t xml:space="preserve">검증된 리뷰</t>
  </si>
  <si>
    <t xml:space="preserve">Avalara, Global-e</t>
  </si>
  <si>
    <r>
      <rPr>
        <sz val="10"/>
        <rFont val="DejaVu Sans"/>
        <family val="2"/>
      </rPr>
      <t xml:space="preserve">기업용 </t>
    </r>
    <r>
      <rPr>
        <sz val="10"/>
        <rFont val="Arial"/>
        <family val="0"/>
        <charset val="1"/>
      </rPr>
      <t xml:space="preserve">B2B </t>
    </r>
    <r>
      <rPr>
        <sz val="10"/>
        <rFont val="DejaVu Sans"/>
        <family val="2"/>
      </rPr>
      <t xml:space="preserve">리뷰</t>
    </r>
  </si>
  <si>
    <t xml:space="preserve">Gartner MQ</t>
  </si>
  <si>
    <t xml:space="preserve">Analyst</t>
  </si>
  <si>
    <t xml:space="preserve">Analyst briefing + customer refs</t>
  </si>
  <si>
    <t xml:space="preserve">Revenue + customer base</t>
  </si>
  <si>
    <r>
      <rPr>
        <sz val="10"/>
        <rFont val="Arial"/>
        <family val="0"/>
        <charset val="1"/>
      </rPr>
      <t xml:space="preserve">P3 (</t>
    </r>
    <r>
      <rPr>
        <sz val="10"/>
        <rFont val="DejaVu Sans"/>
        <family val="2"/>
      </rPr>
      <t xml:space="preserve">매출 후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</si>
  <si>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Magic Quadrant </t>
    </r>
    <r>
      <rPr>
        <sz val="10"/>
        <rFont val="DejaVu Sans"/>
        <family val="2"/>
      </rPr>
      <t xml:space="preserve">등재 </t>
    </r>
    <r>
      <rPr>
        <sz val="10"/>
        <rFont val="Arial"/>
        <family val="0"/>
        <charset val="1"/>
      </rPr>
      <t xml:space="preserve">= Enterprise </t>
    </r>
    <r>
      <rPr>
        <sz val="10"/>
        <rFont val="DejaVu Sans"/>
        <family val="2"/>
      </rPr>
      <t xml:space="preserve">신뢰</t>
    </r>
  </si>
  <si>
    <t xml:space="preserve">Forrester Wave</t>
  </si>
  <si>
    <t xml:space="preserve">Cross-Border Commerce</t>
  </si>
  <si>
    <t xml:space="preserve">Analyst evaluation</t>
  </si>
  <si>
    <t xml:space="preserve">Product + strategy + market presence</t>
  </si>
  <si>
    <r>
      <rPr>
        <sz val="10"/>
        <rFont val="Arial"/>
        <family val="0"/>
        <charset val="1"/>
      </rPr>
      <t xml:space="preserve">Forrester </t>
    </r>
    <r>
      <rPr>
        <sz val="10"/>
        <rFont val="DejaVu Sans"/>
        <family val="2"/>
      </rPr>
      <t xml:space="preserve">분석 보고서</t>
    </r>
  </si>
  <si>
    <t xml:space="preserve">IDC MarketScape</t>
  </si>
  <si>
    <t xml:space="preserve">GTM Solutions</t>
  </si>
  <si>
    <t xml:space="preserve">Vendor briefing</t>
  </si>
  <si>
    <t xml:space="preserve">Market presence</t>
  </si>
  <si>
    <t xml:space="preserve">Avalara</t>
  </si>
  <si>
    <r>
      <rPr>
        <sz val="10"/>
        <rFont val="Arial"/>
        <family val="0"/>
        <charset val="1"/>
      </rPr>
      <t xml:space="preserve">IDC </t>
    </r>
    <r>
      <rPr>
        <sz val="10"/>
        <rFont val="DejaVu Sans"/>
        <family val="2"/>
      </rPr>
      <t xml:space="preserve">시장 분석</t>
    </r>
  </si>
  <si>
    <t xml:space="preserve">Product Hunt</t>
  </si>
  <si>
    <t xml:space="preserve">Community</t>
  </si>
  <si>
    <t xml:space="preserve">Developer Tools / Trade</t>
  </si>
  <si>
    <t xml:space="preserve">Launch submission</t>
  </si>
  <si>
    <t xml:space="preserve">없음 — 누구나 가능</t>
  </si>
  <si>
    <t xml:space="preserve">이미 런칭 계획 있음</t>
  </si>
  <si>
    <t xml:space="preserve">Hacker News (Show HN)</t>
  </si>
  <si>
    <t xml:space="preserve">Dev / Startup</t>
  </si>
  <si>
    <r>
      <rPr>
        <sz val="10"/>
        <rFont val="Arial"/>
        <family val="0"/>
        <charset val="1"/>
      </rPr>
      <t xml:space="preserve">Show HN </t>
    </r>
    <r>
      <rPr>
        <sz val="10"/>
        <rFont val="DejaVu Sans"/>
        <family val="2"/>
      </rPr>
      <t xml:space="preserve">포스트</t>
    </r>
  </si>
  <si>
    <t xml:space="preserve">없음</t>
  </si>
  <si>
    <t xml:space="preserve">기술 커뮤니티 노출</t>
  </si>
  <si>
    <t xml:space="preserve">POTAL vs Human Expert — Annual Cost Comparison</t>
  </si>
  <si>
    <t xml:space="preserve">Role</t>
  </si>
  <si>
    <t xml:space="preserve">US Salary</t>
  </si>
  <si>
    <t xml:space="preserve">Global Avg</t>
  </si>
  <si>
    <t xml:space="preserve">POTAL Monthly Cost</t>
  </si>
  <si>
    <t xml:space="preserve">POTAL Annual Cost</t>
  </si>
  <si>
    <t xml:space="preserve">Annual Savings</t>
  </si>
  <si>
    <t xml:space="preserve">Savings %</t>
  </si>
  <si>
    <t xml:space="preserve">Customs Broker</t>
  </si>
  <si>
    <t xml:space="preserve">FTA Specialist</t>
  </si>
  <si>
    <t xml:space="preserve">VAT/GST Specialist</t>
  </si>
  <si>
    <t xml:space="preserve">Compliance Officer (Sanctions)</t>
  </si>
  <si>
    <t xml:space="preserve">Export Control Specialist</t>
  </si>
  <si>
    <t xml:space="preserve">DG Specialist</t>
  </si>
  <si>
    <t xml:space="preserve">TOTAL / AVERAGE</t>
  </si>
  <si>
    <r>
      <rPr>
        <sz val="9"/>
        <color rgb="FF666666"/>
        <rFont val="Arial"/>
        <family val="0"/>
        <charset val="1"/>
      </rPr>
      <t xml:space="preserve">* POTAL Pro ($80/mo) 1</t>
    </r>
    <r>
      <rPr>
        <sz val="9"/>
        <color rgb="FF666666"/>
        <rFont val="DejaVu Sans"/>
        <family val="2"/>
      </rPr>
      <t xml:space="preserve">명이 </t>
    </r>
    <r>
      <rPr>
        <sz val="9"/>
        <color rgb="FF666666"/>
        <rFont val="Arial"/>
        <family val="0"/>
        <charset val="1"/>
      </rPr>
      <t xml:space="preserve">Customs Broker + VAT Specialist + Compliance Officer 3</t>
    </r>
    <r>
      <rPr>
        <sz val="9"/>
        <color rgb="FF666666"/>
        <rFont val="DejaVu Sans"/>
        <family val="2"/>
      </rPr>
      <t xml:space="preserve">명 역할 대체</t>
    </r>
  </si>
  <si>
    <r>
      <rPr>
        <sz val="9"/>
        <color rgb="FF666666"/>
        <rFont val="Arial"/>
        <family val="0"/>
        <charset val="1"/>
      </rPr>
      <t xml:space="preserve">* Enterprise ($300/mo) = Trade Remedy Attorney + Export Control </t>
    </r>
    <r>
      <rPr>
        <sz val="9"/>
        <color rgb="FF666666"/>
        <rFont val="DejaVu Sans"/>
        <family val="2"/>
      </rPr>
      <t xml:space="preserve">포함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</si>
</sst>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B2A4A"/>
      <name val="Arial"/>
      <family val="0"/>
      <charset val="1"/>
    </font>
    <font>
      <sz val="11"/>
      <color rgb="FF666666"/>
      <name val="Arial"/>
      <family val="0"/>
      <charset val="1"/>
    </font>
    <font>
      <sz val="11"/>
      <color rgb="FF666666"/>
      <name val="DejaVu Sans"/>
      <family val="2"/>
    </font>
    <font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DejaVu Sans"/>
      <family val="2"/>
    </font>
    <font>
      <b val="true"/>
      <sz val="10"/>
      <name val="Arial"/>
      <family val="0"/>
      <charset val="1"/>
    </font>
    <font>
      <b val="true"/>
      <sz val="12"/>
      <color rgb="FF1B2A4A"/>
      <name val="DejaVu Sans"/>
      <family val="2"/>
    </font>
    <font>
      <b val="true"/>
      <sz val="14"/>
      <color rgb="FF1B2A4A"/>
      <name val="Arial"/>
      <family val="0"/>
      <charset val="1"/>
    </font>
    <font>
      <sz val="9"/>
      <color rgb="FF666666"/>
      <name val="Arial"/>
      <family val="0"/>
      <charset val="1"/>
    </font>
    <font>
      <sz val="9"/>
      <color rgb="FF666666"/>
      <name val="DejaVu Sans"/>
      <family val="2"/>
    </font>
  </fonts>
  <fills count="7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5F5F5"/>
        <bgColor rgb="FFFFFFFF"/>
      </patternFill>
    </fill>
    <fill>
      <patternFill patternType="solid">
        <fgColor rgb="FFD5F5E3"/>
        <bgColor rgb="FFCCFFFF"/>
      </patternFill>
    </fill>
    <fill>
      <patternFill patternType="solid">
        <fgColor rgb="FFFFF9C4"/>
        <bgColor rgb="FFFFFF99"/>
      </patternFill>
    </fill>
    <fill>
      <patternFill patternType="solid">
        <fgColor rgb="FFFFCDD2"/>
        <bgColor rgb="FFD0D0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607D8B"/>
      <rgbColor rgb="FF9999FF"/>
      <rgbColor rgb="FF9C27B0"/>
      <rgbColor rgb="FFFFF9C4"/>
      <rgbColor rgb="FFF5F5F5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CD4"/>
      <rgbColor rgb="FFCCFFFF"/>
      <rgbColor rgb="FFD5F5E3"/>
      <rgbColor rgb="FFFFFF99"/>
      <rgbColor rgb="FF99CCFF"/>
      <rgbColor rgb="FFFF99CC"/>
      <rgbColor rgb="FFCC99FF"/>
      <rgbColor rgb="FFFFCDD2"/>
      <rgbColor rgb="FF2196F3"/>
      <rgbColor rgb="FF33CCCC"/>
      <rgbColor rgb="FF99CC00"/>
      <rgbColor rgb="FFFFC107"/>
      <rgbColor rgb="FFFF9800"/>
      <rgbColor rgb="FFF44336"/>
      <rgbColor rgb="FF666666"/>
      <rgbColor rgb="FF999999"/>
      <rgbColor rgb="FF003366"/>
      <rgbColor rgb="FF4CAF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4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6.8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5" t="n">
        <v>12</v>
      </c>
      <c r="C6" s="5" t="n">
        <v>4</v>
      </c>
      <c r="D6" s="5" t="s">
        <v>10</v>
      </c>
      <c r="E6" s="5" t="s">
        <v>11</v>
      </c>
      <c r="F6" s="5" t="s">
        <v>12</v>
      </c>
    </row>
    <row r="7" customFormat="false" ht="15" hidden="false" customHeight="false" outlineLevel="0" collapsed="false">
      <c r="A7" s="6" t="s">
        <v>13</v>
      </c>
      <c r="B7" s="6" t="n">
        <v>8</v>
      </c>
      <c r="C7" s="6" t="n">
        <v>2</v>
      </c>
      <c r="D7" s="6" t="s">
        <v>14</v>
      </c>
      <c r="E7" s="6" t="s">
        <v>15</v>
      </c>
      <c r="F7" s="6" t="s">
        <v>16</v>
      </c>
    </row>
    <row r="8" customFormat="false" ht="15" hidden="false" customHeight="false" outlineLevel="0" collapsed="false">
      <c r="A8" s="5" t="s">
        <v>17</v>
      </c>
      <c r="B8" s="5" t="n">
        <v>6</v>
      </c>
      <c r="C8" s="5" t="n">
        <v>3</v>
      </c>
      <c r="D8" s="5" t="s">
        <v>18</v>
      </c>
      <c r="E8" s="5" t="s">
        <v>11</v>
      </c>
      <c r="F8" s="5" t="s">
        <v>19</v>
      </c>
    </row>
    <row r="9" customFormat="false" ht="15" hidden="false" customHeight="false" outlineLevel="0" collapsed="false">
      <c r="A9" s="6" t="s">
        <v>20</v>
      </c>
      <c r="B9" s="6" t="n">
        <v>7</v>
      </c>
      <c r="C9" s="6" t="n">
        <v>1</v>
      </c>
      <c r="D9" s="6" t="s">
        <v>14</v>
      </c>
      <c r="E9" s="6" t="s">
        <v>21</v>
      </c>
      <c r="F9" s="6" t="s">
        <v>22</v>
      </c>
    </row>
    <row r="10" customFormat="false" ht="15" hidden="false" customHeight="false" outlineLevel="0" collapsed="false">
      <c r="A10" s="5" t="s">
        <v>23</v>
      </c>
      <c r="B10" s="5" t="n">
        <v>9</v>
      </c>
      <c r="C10" s="5" t="n">
        <v>0</v>
      </c>
      <c r="D10" s="5" t="s">
        <v>24</v>
      </c>
      <c r="E10" s="5" t="s">
        <v>25</v>
      </c>
      <c r="F10" s="7" t="s">
        <v>26</v>
      </c>
    </row>
    <row r="11" customFormat="false" ht="15" hidden="false" customHeight="false" outlineLevel="0" collapsed="false">
      <c r="A11" s="6" t="s">
        <v>27</v>
      </c>
      <c r="B11" s="6" t="n">
        <v>5</v>
      </c>
      <c r="C11" s="6" t="n">
        <v>5</v>
      </c>
      <c r="D11" s="6" t="s">
        <v>18</v>
      </c>
      <c r="E11" s="6" t="s">
        <v>11</v>
      </c>
      <c r="F11" s="6" t="s">
        <v>28</v>
      </c>
    </row>
    <row r="12" customFormat="false" ht="15" hidden="false" customHeight="false" outlineLevel="0" collapsed="false">
      <c r="A12" s="5" t="s">
        <v>29</v>
      </c>
      <c r="B12" s="5" t="n">
        <v>4</v>
      </c>
      <c r="C12" s="5" t="n">
        <v>0</v>
      </c>
      <c r="D12" s="5" t="s">
        <v>30</v>
      </c>
      <c r="E12" s="5" t="s">
        <v>21</v>
      </c>
      <c r="F12" s="7" t="s">
        <v>31</v>
      </c>
    </row>
    <row r="13" customFormat="false" ht="15" hidden="false" customHeight="false" outlineLevel="0" collapsed="false">
      <c r="A13" s="6" t="s">
        <v>32</v>
      </c>
      <c r="B13" s="6" t="n">
        <v>6</v>
      </c>
      <c r="C13" s="6" t="n">
        <v>1</v>
      </c>
      <c r="D13" s="6" t="s">
        <v>14</v>
      </c>
      <c r="E13" s="6" t="s">
        <v>15</v>
      </c>
      <c r="F13" s="6" t="s">
        <v>33</v>
      </c>
    </row>
    <row r="14" customFormat="false" ht="15" hidden="false" customHeight="false" outlineLevel="0" collapsed="false">
      <c r="A14" s="8" t="s">
        <v>34</v>
      </c>
      <c r="B14" s="5" t="n">
        <f aca="false">SUM(B6:B13)</f>
        <v>57</v>
      </c>
      <c r="C14" s="5" t="n">
        <f aca="false">SUM(C6:C13)</f>
        <v>16</v>
      </c>
      <c r="D14" s="5" t="s">
        <v>35</v>
      </c>
      <c r="E14" s="5" t="s">
        <v>35</v>
      </c>
      <c r="F14" s="5" t="s">
        <v>35</v>
      </c>
    </row>
    <row r="16" customFormat="false" ht="15" hidden="false" customHeight="false" outlineLevel="0" collapsed="false">
      <c r="A16" s="9" t="s">
        <v>36</v>
      </c>
    </row>
    <row r="17" customFormat="false" ht="15" hidden="false" customHeight="false" outlineLevel="0" collapsed="false">
      <c r="A17" s="10" t="s">
        <v>37</v>
      </c>
    </row>
    <row r="18" customFormat="false" ht="15" hidden="false" customHeight="false" outlineLevel="0" collapsed="false">
      <c r="A18" s="10" t="s">
        <v>38</v>
      </c>
    </row>
    <row r="19" customFormat="false" ht="15" hidden="false" customHeight="false" outlineLevel="0" collapsed="false">
      <c r="A19" s="10" t="s">
        <v>39</v>
      </c>
    </row>
    <row r="20" customFormat="false" ht="15" hidden="false" customHeight="false" outlineLevel="0" collapsed="false">
      <c r="A20" s="10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196F3"/>
    <pageSetUpPr fitToPage="false"/>
  </sheetPr>
  <dimension ref="A1:P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8" min="7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0"/>
    <col collapsed="false" customWidth="true" hidden="false" outlineLevel="0" max="12" min="12" style="0" width="28"/>
    <col collapsed="false" customWidth="true" hidden="false" outlineLevel="0" max="13" min="13" style="0" width="15"/>
    <col collapsed="false" customWidth="true" hidden="false" outlineLevel="0" max="14" min="14" style="0" width="10"/>
    <col collapsed="false" customWidth="true" hidden="false" outlineLevel="0" max="15" min="15" style="0" width="45"/>
    <col collapsed="false" customWidth="true" hidden="false" outlineLevel="0" max="16" min="16" style="0" width="40"/>
  </cols>
  <sheetData>
    <row r="1" customFormat="false" ht="26.85" hidden="false" customHeight="false" outlineLevel="0" collapsed="false">
      <c r="A1" s="4" t="s">
        <v>41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  <c r="G1" s="4" t="s">
        <v>47</v>
      </c>
      <c r="H1" s="4" t="s">
        <v>48</v>
      </c>
      <c r="I1" s="4" t="s">
        <v>49</v>
      </c>
      <c r="J1" s="4" t="s">
        <v>50</v>
      </c>
      <c r="K1" s="4" t="s">
        <v>51</v>
      </c>
      <c r="L1" s="4" t="s">
        <v>52</v>
      </c>
      <c r="M1" s="4" t="s">
        <v>53</v>
      </c>
      <c r="N1" s="4" t="s">
        <v>54</v>
      </c>
      <c r="O1" s="4" t="s">
        <v>55</v>
      </c>
      <c r="P1" s="4" t="s">
        <v>8</v>
      </c>
    </row>
    <row r="2" customFormat="false" ht="23.85" hidden="false" customHeight="false" outlineLevel="0" collapsed="false">
      <c r="A2" s="5" t="s">
        <v>56</v>
      </c>
      <c r="B2" s="5" t="s">
        <v>57</v>
      </c>
      <c r="C2" s="5" t="s">
        <v>58</v>
      </c>
      <c r="D2" s="5" t="s">
        <v>59</v>
      </c>
      <c r="E2" s="5" t="s">
        <v>60</v>
      </c>
      <c r="F2" s="5" t="n">
        <v>80</v>
      </c>
      <c r="G2" s="5" t="s">
        <v>61</v>
      </c>
      <c r="H2" s="5" t="s">
        <v>62</v>
      </c>
      <c r="I2" s="5" t="s">
        <v>63</v>
      </c>
      <c r="J2" s="5" t="s">
        <v>64</v>
      </c>
      <c r="K2" s="5" t="s">
        <v>65</v>
      </c>
      <c r="L2" s="5" t="s">
        <v>66</v>
      </c>
      <c r="M2" s="5" t="s">
        <v>18</v>
      </c>
      <c r="N2" s="5" t="s">
        <v>67</v>
      </c>
      <c r="O2" s="5" t="s">
        <v>68</v>
      </c>
      <c r="P2" s="5" t="s">
        <v>69</v>
      </c>
    </row>
    <row r="3" customFormat="false" ht="15" hidden="false" customHeight="false" outlineLevel="0" collapsed="false">
      <c r="A3" s="6" t="s">
        <v>56</v>
      </c>
      <c r="B3" s="6" t="s">
        <v>70</v>
      </c>
      <c r="C3" s="6" t="s">
        <v>71</v>
      </c>
      <c r="D3" s="6" t="s">
        <v>72</v>
      </c>
      <c r="E3" s="6" t="s">
        <v>73</v>
      </c>
      <c r="F3" s="6" t="s">
        <v>35</v>
      </c>
      <c r="G3" s="6" t="s">
        <v>74</v>
      </c>
      <c r="H3" s="6" t="s">
        <v>35</v>
      </c>
      <c r="I3" s="6" t="s">
        <v>35</v>
      </c>
      <c r="J3" s="6" t="s">
        <v>75</v>
      </c>
      <c r="K3" s="6" t="s">
        <v>76</v>
      </c>
      <c r="L3" s="6" t="s">
        <v>77</v>
      </c>
      <c r="M3" s="6" t="s">
        <v>24</v>
      </c>
      <c r="N3" s="6" t="s">
        <v>78</v>
      </c>
      <c r="O3" s="6" t="s">
        <v>79</v>
      </c>
      <c r="P3" s="6" t="s">
        <v>80</v>
      </c>
    </row>
    <row r="4" customFormat="false" ht="15" hidden="false" customHeight="false" outlineLevel="0" collapsed="false">
      <c r="A4" s="5" t="s">
        <v>56</v>
      </c>
      <c r="B4" s="5" t="s">
        <v>81</v>
      </c>
      <c r="C4" s="5" t="s">
        <v>82</v>
      </c>
      <c r="D4" s="5" t="s">
        <v>72</v>
      </c>
      <c r="E4" s="5" t="s">
        <v>73</v>
      </c>
      <c r="F4" s="5" t="s">
        <v>35</v>
      </c>
      <c r="G4" s="5" t="s">
        <v>74</v>
      </c>
      <c r="H4" s="5" t="s">
        <v>35</v>
      </c>
      <c r="I4" s="5" t="s">
        <v>35</v>
      </c>
      <c r="J4" s="5" t="s">
        <v>75</v>
      </c>
      <c r="K4" s="5" t="s">
        <v>76</v>
      </c>
      <c r="L4" s="5" t="s">
        <v>77</v>
      </c>
      <c r="M4" s="5" t="s">
        <v>24</v>
      </c>
      <c r="N4" s="5" t="s">
        <v>78</v>
      </c>
      <c r="O4" s="5" t="s">
        <v>79</v>
      </c>
      <c r="P4" s="5" t="s">
        <v>83</v>
      </c>
    </row>
    <row r="5" customFormat="false" ht="15" hidden="false" customHeight="false" outlineLevel="0" collapsed="false">
      <c r="A5" s="6" t="s">
        <v>56</v>
      </c>
      <c r="B5" s="6" t="s">
        <v>84</v>
      </c>
      <c r="C5" s="6" t="s">
        <v>85</v>
      </c>
      <c r="D5" s="6" t="s">
        <v>72</v>
      </c>
      <c r="E5" s="6" t="s">
        <v>86</v>
      </c>
      <c r="F5" s="6" t="s">
        <v>35</v>
      </c>
      <c r="G5" s="6" t="s">
        <v>35</v>
      </c>
      <c r="H5" s="6" t="s">
        <v>35</v>
      </c>
      <c r="I5" s="6" t="s">
        <v>35</v>
      </c>
      <c r="J5" s="6" t="s">
        <v>87</v>
      </c>
      <c r="K5" s="6" t="s">
        <v>35</v>
      </c>
      <c r="L5" s="6" t="s">
        <v>24</v>
      </c>
      <c r="M5" s="6" t="s">
        <v>24</v>
      </c>
      <c r="N5" s="6" t="s">
        <v>78</v>
      </c>
      <c r="O5" s="6" t="s">
        <v>79</v>
      </c>
      <c r="P5" s="6" t="s">
        <v>88</v>
      </c>
    </row>
    <row r="6" customFormat="false" ht="15" hidden="false" customHeight="false" outlineLevel="0" collapsed="false">
      <c r="A6" s="5" t="s">
        <v>89</v>
      </c>
      <c r="B6" s="5" t="s">
        <v>90</v>
      </c>
      <c r="C6" s="5" t="s">
        <v>91</v>
      </c>
      <c r="D6" s="5" t="s">
        <v>92</v>
      </c>
      <c r="E6" s="5" t="s">
        <v>93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94</v>
      </c>
      <c r="K6" s="5" t="s">
        <v>35</v>
      </c>
      <c r="L6" s="5" t="s">
        <v>95</v>
      </c>
      <c r="M6" s="5" t="s">
        <v>14</v>
      </c>
      <c r="N6" s="5" t="s">
        <v>96</v>
      </c>
      <c r="O6" s="5" t="s">
        <v>97</v>
      </c>
      <c r="P6" s="5" t="s">
        <v>98</v>
      </c>
    </row>
    <row r="7" customFormat="false" ht="15" hidden="false" customHeight="false" outlineLevel="0" collapsed="false">
      <c r="A7" s="6" t="s">
        <v>89</v>
      </c>
      <c r="B7" s="6" t="s">
        <v>99</v>
      </c>
      <c r="C7" s="6" t="s">
        <v>100</v>
      </c>
      <c r="D7" s="6" t="s">
        <v>101</v>
      </c>
      <c r="E7" s="6" t="s">
        <v>102</v>
      </c>
      <c r="F7" s="6" t="s">
        <v>35</v>
      </c>
      <c r="G7" s="6" t="s">
        <v>35</v>
      </c>
      <c r="H7" s="6" t="s">
        <v>35</v>
      </c>
      <c r="I7" s="6" t="s">
        <v>35</v>
      </c>
      <c r="J7" s="6" t="s">
        <v>94</v>
      </c>
      <c r="K7" s="6" t="s">
        <v>35</v>
      </c>
      <c r="L7" s="6" t="s">
        <v>103</v>
      </c>
      <c r="M7" s="6" t="s">
        <v>18</v>
      </c>
      <c r="N7" s="6" t="s">
        <v>104</v>
      </c>
      <c r="O7" s="6" t="s">
        <v>105</v>
      </c>
      <c r="P7" s="6" t="s">
        <v>106</v>
      </c>
    </row>
    <row r="8" customFormat="false" ht="23.85" hidden="false" customHeight="false" outlineLevel="0" collapsed="false">
      <c r="A8" s="5" t="s">
        <v>107</v>
      </c>
      <c r="B8" s="5" t="s">
        <v>108</v>
      </c>
      <c r="C8" s="5" t="s">
        <v>35</v>
      </c>
      <c r="D8" s="5" t="s">
        <v>109</v>
      </c>
      <c r="E8" s="5" t="s">
        <v>110</v>
      </c>
      <c r="F8" s="5" t="s">
        <v>35</v>
      </c>
      <c r="G8" s="5" t="s">
        <v>35</v>
      </c>
      <c r="H8" s="5" t="s">
        <v>35</v>
      </c>
      <c r="I8" s="5" t="s">
        <v>35</v>
      </c>
      <c r="J8" s="5" t="s">
        <v>111</v>
      </c>
      <c r="K8" s="5" t="s">
        <v>35</v>
      </c>
      <c r="L8" s="5" t="s">
        <v>14</v>
      </c>
      <c r="M8" s="5" t="s">
        <v>14</v>
      </c>
      <c r="N8" s="5" t="s">
        <v>78</v>
      </c>
      <c r="O8" s="5" t="s">
        <v>112</v>
      </c>
      <c r="P8" s="5" t="s">
        <v>113</v>
      </c>
    </row>
    <row r="9" customFormat="false" ht="23.85" hidden="false" customHeight="false" outlineLevel="0" collapsed="false">
      <c r="A9" s="6" t="s">
        <v>114</v>
      </c>
      <c r="B9" s="11" t="s">
        <v>115</v>
      </c>
      <c r="C9" s="11" t="s">
        <v>116</v>
      </c>
      <c r="D9" s="11" t="s">
        <v>117</v>
      </c>
      <c r="E9" s="11" t="s">
        <v>118</v>
      </c>
      <c r="F9" s="6" t="s">
        <v>119</v>
      </c>
      <c r="G9" s="6" t="s">
        <v>120</v>
      </c>
      <c r="H9" s="6" t="s">
        <v>121</v>
      </c>
      <c r="I9" s="6" t="s">
        <v>122</v>
      </c>
      <c r="J9" s="6" t="s">
        <v>123</v>
      </c>
      <c r="K9" s="6" t="s">
        <v>124</v>
      </c>
      <c r="L9" s="6" t="s">
        <v>125</v>
      </c>
      <c r="M9" s="6" t="s">
        <v>126</v>
      </c>
      <c r="N9" s="6" t="s">
        <v>67</v>
      </c>
      <c r="O9" s="6" t="s">
        <v>127</v>
      </c>
      <c r="P9" s="11" t="s">
        <v>128</v>
      </c>
    </row>
    <row r="10" customFormat="false" ht="23.85" hidden="false" customHeight="false" outlineLevel="0" collapsed="false">
      <c r="A10" s="5" t="s">
        <v>129</v>
      </c>
      <c r="B10" s="7" t="s">
        <v>130</v>
      </c>
      <c r="C10" s="7" t="s">
        <v>131</v>
      </c>
      <c r="D10" s="7" t="s">
        <v>132</v>
      </c>
      <c r="E10" s="5" t="s">
        <v>133</v>
      </c>
      <c r="F10" s="5" t="s">
        <v>134</v>
      </c>
      <c r="G10" s="5" t="s">
        <v>135</v>
      </c>
      <c r="H10" s="5" t="s">
        <v>136</v>
      </c>
      <c r="I10" s="5" t="s">
        <v>137</v>
      </c>
      <c r="J10" s="5" t="s">
        <v>138</v>
      </c>
      <c r="K10" s="5" t="s">
        <v>139</v>
      </c>
      <c r="L10" s="5" t="s">
        <v>140</v>
      </c>
      <c r="M10" s="5" t="s">
        <v>18</v>
      </c>
      <c r="N10" s="5" t="s">
        <v>67</v>
      </c>
      <c r="O10" s="5" t="s">
        <v>141</v>
      </c>
      <c r="P10" s="7" t="s">
        <v>142</v>
      </c>
    </row>
    <row r="11" customFormat="false" ht="15" hidden="false" customHeight="false" outlineLevel="0" collapsed="false">
      <c r="A11" s="6" t="s">
        <v>143</v>
      </c>
      <c r="B11" s="6" t="s">
        <v>144</v>
      </c>
      <c r="C11" s="6" t="s">
        <v>145</v>
      </c>
      <c r="D11" s="6" t="s">
        <v>145</v>
      </c>
      <c r="E11" s="6" t="s">
        <v>146</v>
      </c>
      <c r="F11" s="6" t="s">
        <v>35</v>
      </c>
      <c r="G11" s="6" t="s">
        <v>35</v>
      </c>
      <c r="H11" s="6" t="s">
        <v>35</v>
      </c>
      <c r="I11" s="6" t="s">
        <v>35</v>
      </c>
      <c r="J11" s="6" t="s">
        <v>147</v>
      </c>
      <c r="K11" s="6" t="s">
        <v>35</v>
      </c>
      <c r="L11" s="6" t="s">
        <v>24</v>
      </c>
      <c r="M11" s="6" t="s">
        <v>24</v>
      </c>
      <c r="N11" s="6" t="s">
        <v>78</v>
      </c>
      <c r="O11" s="6" t="s">
        <v>148</v>
      </c>
      <c r="P11" s="6" t="s">
        <v>149</v>
      </c>
    </row>
    <row r="12" customFormat="false" ht="15" hidden="false" customHeight="false" outlineLevel="0" collapsed="false">
      <c r="A12" s="5" t="s">
        <v>150</v>
      </c>
      <c r="B12" s="5" t="s">
        <v>151</v>
      </c>
      <c r="C12" s="5" t="s">
        <v>152</v>
      </c>
      <c r="D12" s="5" t="s">
        <v>153</v>
      </c>
      <c r="E12" s="5" t="s">
        <v>154</v>
      </c>
      <c r="F12" s="5" t="s">
        <v>35</v>
      </c>
      <c r="G12" s="5" t="s">
        <v>35</v>
      </c>
      <c r="H12" s="5" t="s">
        <v>35</v>
      </c>
      <c r="I12" s="5" t="s">
        <v>35</v>
      </c>
      <c r="J12" s="5" t="s">
        <v>94</v>
      </c>
      <c r="K12" s="5" t="s">
        <v>35</v>
      </c>
      <c r="L12" s="5" t="s">
        <v>14</v>
      </c>
      <c r="M12" s="5" t="s">
        <v>14</v>
      </c>
      <c r="N12" s="5" t="s">
        <v>78</v>
      </c>
      <c r="O12" s="5" t="s">
        <v>155</v>
      </c>
      <c r="P12" s="5" t="s">
        <v>156</v>
      </c>
    </row>
    <row r="13" customFormat="false" ht="23.85" hidden="false" customHeight="false" outlineLevel="0" collapsed="false">
      <c r="A13" s="6" t="s">
        <v>157</v>
      </c>
      <c r="B13" s="6" t="s">
        <v>158</v>
      </c>
      <c r="C13" s="6" t="s">
        <v>35</v>
      </c>
      <c r="D13" s="6" t="s">
        <v>159</v>
      </c>
      <c r="E13" s="6" t="s">
        <v>160</v>
      </c>
      <c r="F13" s="6" t="s">
        <v>161</v>
      </c>
      <c r="G13" s="6" t="s">
        <v>162</v>
      </c>
      <c r="H13" s="6" t="s">
        <v>35</v>
      </c>
      <c r="I13" s="6" t="s">
        <v>163</v>
      </c>
      <c r="J13" s="6" t="s">
        <v>164</v>
      </c>
      <c r="K13" s="6" t="s">
        <v>165</v>
      </c>
      <c r="L13" s="6" t="s">
        <v>166</v>
      </c>
      <c r="M13" s="6" t="s">
        <v>24</v>
      </c>
      <c r="N13" s="6" t="s">
        <v>104</v>
      </c>
      <c r="O13" s="6" t="s">
        <v>167</v>
      </c>
      <c r="P13" s="6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28"/>
    <col collapsed="false" customWidth="true" hidden="false" outlineLevel="0" max="10" min="10" style="0" width="14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3" min="13" style="0" width="35"/>
  </cols>
  <sheetData>
    <row r="1" customFormat="false" ht="26.85" hidden="false" customHeight="false" outlineLevel="0" collapsed="false">
      <c r="A1" s="4" t="s">
        <v>169</v>
      </c>
      <c r="B1" s="4" t="s">
        <v>170</v>
      </c>
      <c r="C1" s="4" t="s">
        <v>171</v>
      </c>
      <c r="D1" s="4" t="s">
        <v>172</v>
      </c>
      <c r="E1" s="4" t="s">
        <v>173</v>
      </c>
      <c r="F1" s="4" t="s">
        <v>174</v>
      </c>
      <c r="G1" s="4" t="s">
        <v>175</v>
      </c>
      <c r="H1" s="4" t="s">
        <v>176</v>
      </c>
      <c r="I1" s="4" t="s">
        <v>177</v>
      </c>
      <c r="J1" s="4" t="s">
        <v>178</v>
      </c>
      <c r="K1" s="4" t="s">
        <v>179</v>
      </c>
      <c r="L1" s="4" t="s">
        <v>180</v>
      </c>
      <c r="M1" s="4" t="s">
        <v>181</v>
      </c>
    </row>
    <row r="2" customFormat="false" ht="23.85" hidden="false" customHeight="false" outlineLevel="0" collapsed="false">
      <c r="A2" s="5" t="s">
        <v>182</v>
      </c>
      <c r="B2" s="5" t="s">
        <v>183</v>
      </c>
      <c r="C2" s="5" t="s">
        <v>184</v>
      </c>
      <c r="D2" s="5" t="s">
        <v>185</v>
      </c>
      <c r="E2" s="5" t="s">
        <v>186</v>
      </c>
      <c r="F2" s="5" t="s">
        <v>187</v>
      </c>
      <c r="G2" s="5" t="s">
        <v>188</v>
      </c>
      <c r="H2" s="5" t="s">
        <v>189</v>
      </c>
      <c r="I2" s="5" t="s">
        <v>190</v>
      </c>
      <c r="J2" s="5" t="s">
        <v>11</v>
      </c>
      <c r="K2" s="7" t="s">
        <v>191</v>
      </c>
      <c r="L2" s="7" t="s">
        <v>192</v>
      </c>
      <c r="M2" s="5" t="s">
        <v>193</v>
      </c>
    </row>
    <row r="3" customFormat="false" ht="15" hidden="false" customHeight="false" outlineLevel="0" collapsed="false">
      <c r="A3" s="6" t="s">
        <v>194</v>
      </c>
      <c r="B3" s="6" t="s">
        <v>195</v>
      </c>
      <c r="C3" s="6" t="s">
        <v>184</v>
      </c>
      <c r="D3" s="6" t="s">
        <v>196</v>
      </c>
      <c r="E3" s="6" t="s">
        <v>197</v>
      </c>
      <c r="F3" s="6" t="s">
        <v>198</v>
      </c>
      <c r="G3" s="6" t="s">
        <v>199</v>
      </c>
      <c r="H3" s="6" t="s">
        <v>200</v>
      </c>
      <c r="I3" s="6" t="s">
        <v>201</v>
      </c>
      <c r="J3" s="6" t="s">
        <v>11</v>
      </c>
      <c r="K3" s="11" t="s">
        <v>202</v>
      </c>
      <c r="L3" s="11" t="s">
        <v>203</v>
      </c>
      <c r="M3" s="6" t="s">
        <v>204</v>
      </c>
    </row>
    <row r="4" customFormat="false" ht="15" hidden="false" customHeight="false" outlineLevel="0" collapsed="false">
      <c r="A4" s="5" t="s">
        <v>205</v>
      </c>
      <c r="B4" s="5" t="s">
        <v>206</v>
      </c>
      <c r="C4" s="5" t="s">
        <v>184</v>
      </c>
      <c r="D4" s="5" t="s">
        <v>207</v>
      </c>
      <c r="E4" s="5" t="s">
        <v>208</v>
      </c>
      <c r="F4" s="5" t="s">
        <v>35</v>
      </c>
      <c r="G4" s="5" t="s">
        <v>35</v>
      </c>
      <c r="H4" s="5" t="s">
        <v>35</v>
      </c>
      <c r="I4" s="5" t="s">
        <v>201</v>
      </c>
      <c r="J4" s="5" t="s">
        <v>15</v>
      </c>
      <c r="K4" s="7" t="s">
        <v>202</v>
      </c>
      <c r="L4" s="7" t="s">
        <v>209</v>
      </c>
      <c r="M4" s="5" t="s">
        <v>210</v>
      </c>
    </row>
    <row r="5" customFormat="false" ht="15" hidden="false" customHeight="false" outlineLevel="0" collapsed="false">
      <c r="A5" s="6" t="s">
        <v>211</v>
      </c>
      <c r="B5" s="6" t="s">
        <v>159</v>
      </c>
      <c r="C5" s="6" t="s">
        <v>212</v>
      </c>
      <c r="D5" s="6" t="s">
        <v>213</v>
      </c>
      <c r="E5" s="6" t="s">
        <v>208</v>
      </c>
      <c r="F5" s="6" t="s">
        <v>35</v>
      </c>
      <c r="G5" s="6" t="s">
        <v>35</v>
      </c>
      <c r="H5" s="6" t="s">
        <v>214</v>
      </c>
      <c r="I5" s="6" t="s">
        <v>215</v>
      </c>
      <c r="J5" s="6" t="s">
        <v>21</v>
      </c>
      <c r="K5" s="6" t="s">
        <v>30</v>
      </c>
      <c r="L5" s="11" t="s">
        <v>216</v>
      </c>
      <c r="M5" s="6" t="s">
        <v>217</v>
      </c>
    </row>
    <row r="6" customFormat="false" ht="23.85" hidden="false" customHeight="false" outlineLevel="0" collapsed="false">
      <c r="A6" s="5" t="s">
        <v>218</v>
      </c>
      <c r="B6" s="5" t="s">
        <v>59</v>
      </c>
      <c r="C6" s="5" t="s">
        <v>219</v>
      </c>
      <c r="D6" s="5" t="s">
        <v>220</v>
      </c>
      <c r="E6" s="5" t="s">
        <v>221</v>
      </c>
      <c r="F6" s="5" t="s">
        <v>35</v>
      </c>
      <c r="G6" s="5" t="s">
        <v>35</v>
      </c>
      <c r="H6" s="5" t="s">
        <v>222</v>
      </c>
      <c r="I6" s="5" t="s">
        <v>223</v>
      </c>
      <c r="J6" s="5" t="s">
        <v>11</v>
      </c>
      <c r="K6" s="7" t="s">
        <v>224</v>
      </c>
      <c r="L6" s="5" t="s">
        <v>225</v>
      </c>
      <c r="M6" s="5" t="s">
        <v>226</v>
      </c>
    </row>
    <row r="7" customFormat="false" ht="23.85" hidden="false" customHeight="false" outlineLevel="0" collapsed="false">
      <c r="A7" s="6" t="s">
        <v>227</v>
      </c>
      <c r="B7" s="11" t="s">
        <v>228</v>
      </c>
      <c r="C7" s="6" t="s">
        <v>219</v>
      </c>
      <c r="D7" s="6" t="s">
        <v>229</v>
      </c>
      <c r="E7" s="6" t="s">
        <v>230</v>
      </c>
      <c r="F7" s="6" t="s">
        <v>35</v>
      </c>
      <c r="G7" s="6" t="s">
        <v>35</v>
      </c>
      <c r="H7" s="6" t="s">
        <v>231</v>
      </c>
      <c r="I7" s="6" t="s">
        <v>232</v>
      </c>
      <c r="J7" s="6" t="s">
        <v>15</v>
      </c>
      <c r="K7" s="11" t="s">
        <v>224</v>
      </c>
      <c r="L7" s="11" t="s">
        <v>233</v>
      </c>
      <c r="M7" s="6" t="s">
        <v>127</v>
      </c>
    </row>
    <row r="8" customFormat="false" ht="23.85" hidden="false" customHeight="false" outlineLevel="0" collapsed="false">
      <c r="A8" s="5" t="s">
        <v>234</v>
      </c>
      <c r="B8" s="7" t="s">
        <v>132</v>
      </c>
      <c r="C8" s="5" t="s">
        <v>219</v>
      </c>
      <c r="D8" s="5" t="s">
        <v>235</v>
      </c>
      <c r="E8" s="5" t="s">
        <v>236</v>
      </c>
      <c r="F8" s="5" t="s">
        <v>35</v>
      </c>
      <c r="G8" s="5" t="s">
        <v>35</v>
      </c>
      <c r="H8" s="5" t="s">
        <v>237</v>
      </c>
      <c r="I8" s="5" t="s">
        <v>232</v>
      </c>
      <c r="J8" s="5" t="s">
        <v>15</v>
      </c>
      <c r="K8" s="7" t="s">
        <v>224</v>
      </c>
      <c r="L8" s="7" t="s">
        <v>238</v>
      </c>
      <c r="M8" s="5" t="s">
        <v>141</v>
      </c>
    </row>
    <row r="9" customFormat="false" ht="15" hidden="false" customHeight="false" outlineLevel="0" collapsed="false">
      <c r="A9" s="6" t="s">
        <v>239</v>
      </c>
      <c r="B9" s="6" t="s">
        <v>92</v>
      </c>
      <c r="C9" s="6" t="s">
        <v>240</v>
      </c>
      <c r="D9" s="6" t="s">
        <v>241</v>
      </c>
      <c r="E9" s="6" t="s">
        <v>242</v>
      </c>
      <c r="F9" s="6" t="s">
        <v>243</v>
      </c>
      <c r="G9" s="6" t="s">
        <v>30</v>
      </c>
      <c r="H9" s="6" t="s">
        <v>30</v>
      </c>
      <c r="I9" s="6" t="s">
        <v>103</v>
      </c>
      <c r="J9" s="6" t="s">
        <v>11</v>
      </c>
      <c r="K9" s="6" t="s">
        <v>244</v>
      </c>
      <c r="L9" s="6" t="s">
        <v>245</v>
      </c>
      <c r="M9" s="6" t="s">
        <v>105</v>
      </c>
    </row>
    <row r="10" customFormat="false" ht="15" hidden="false" customHeight="false" outlineLevel="0" collapsed="false">
      <c r="A10" s="5" t="s">
        <v>246</v>
      </c>
      <c r="B10" s="5" t="s">
        <v>59</v>
      </c>
      <c r="C10" s="5" t="s">
        <v>240</v>
      </c>
      <c r="D10" s="5" t="s">
        <v>247</v>
      </c>
      <c r="E10" s="5" t="s">
        <v>248</v>
      </c>
      <c r="F10" s="5" t="s">
        <v>243</v>
      </c>
      <c r="G10" s="5" t="s">
        <v>30</v>
      </c>
      <c r="H10" s="5" t="s">
        <v>30</v>
      </c>
      <c r="I10" s="5" t="s">
        <v>249</v>
      </c>
      <c r="J10" s="5" t="s">
        <v>11</v>
      </c>
      <c r="K10" s="7" t="s">
        <v>250</v>
      </c>
      <c r="L10" s="5" t="s">
        <v>251</v>
      </c>
      <c r="M10" s="5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9800"/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22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9" min="9" style="0" width="36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26.85" hidden="false" customHeight="false" outlineLevel="0" collapsed="false">
      <c r="A1" s="4" t="s">
        <v>253</v>
      </c>
      <c r="B1" s="4" t="s">
        <v>43</v>
      </c>
      <c r="C1" s="4" t="s">
        <v>44</v>
      </c>
      <c r="D1" s="4" t="s">
        <v>41</v>
      </c>
      <c r="E1" s="4" t="s">
        <v>254</v>
      </c>
      <c r="F1" s="4" t="s">
        <v>45</v>
      </c>
      <c r="G1" s="4" t="s">
        <v>51</v>
      </c>
      <c r="H1" s="4" t="s">
        <v>52</v>
      </c>
      <c r="I1" s="4" t="s">
        <v>255</v>
      </c>
      <c r="J1" s="4" t="s">
        <v>54</v>
      </c>
      <c r="K1" s="4" t="s">
        <v>8</v>
      </c>
    </row>
    <row r="2" customFormat="false" ht="15" hidden="false" customHeight="false" outlineLevel="0" collapsed="false">
      <c r="A2" s="5" t="s">
        <v>70</v>
      </c>
      <c r="B2" s="5" t="s">
        <v>71</v>
      </c>
      <c r="C2" s="5" t="s">
        <v>72</v>
      </c>
      <c r="D2" s="5" t="s">
        <v>56</v>
      </c>
      <c r="E2" s="5" t="s">
        <v>256</v>
      </c>
      <c r="F2" s="5" t="s">
        <v>257</v>
      </c>
      <c r="G2" s="5" t="s">
        <v>76</v>
      </c>
      <c r="H2" s="5" t="s">
        <v>24</v>
      </c>
      <c r="I2" s="5" t="s">
        <v>258</v>
      </c>
      <c r="J2" s="5" t="s">
        <v>78</v>
      </c>
      <c r="K2" s="5"/>
    </row>
    <row r="3" customFormat="false" ht="15" hidden="false" customHeight="false" outlineLevel="0" collapsed="false">
      <c r="A3" s="6" t="s">
        <v>81</v>
      </c>
      <c r="B3" s="6" t="s">
        <v>82</v>
      </c>
      <c r="C3" s="6" t="s">
        <v>72</v>
      </c>
      <c r="D3" s="6" t="s">
        <v>56</v>
      </c>
      <c r="E3" s="6" t="s">
        <v>259</v>
      </c>
      <c r="F3" s="6" t="s">
        <v>257</v>
      </c>
      <c r="G3" s="6" t="s">
        <v>76</v>
      </c>
      <c r="H3" s="6" t="s">
        <v>24</v>
      </c>
      <c r="I3" s="6" t="s">
        <v>260</v>
      </c>
      <c r="J3" s="6" t="s">
        <v>78</v>
      </c>
      <c r="K3" s="6" t="s">
        <v>261</v>
      </c>
    </row>
    <row r="4" customFormat="false" ht="15" hidden="false" customHeight="false" outlineLevel="0" collapsed="false">
      <c r="A4" s="5" t="s">
        <v>84</v>
      </c>
      <c r="B4" s="5" t="s">
        <v>85</v>
      </c>
      <c r="C4" s="5" t="s">
        <v>72</v>
      </c>
      <c r="D4" s="5" t="s">
        <v>56</v>
      </c>
      <c r="E4" s="5" t="s">
        <v>262</v>
      </c>
      <c r="F4" s="5" t="s">
        <v>263</v>
      </c>
      <c r="G4" s="5" t="s">
        <v>35</v>
      </c>
      <c r="H4" s="5" t="s">
        <v>24</v>
      </c>
      <c r="I4" s="5" t="s">
        <v>14</v>
      </c>
      <c r="J4" s="5" t="s">
        <v>78</v>
      </c>
      <c r="K4" s="7" t="s">
        <v>264</v>
      </c>
    </row>
    <row r="5" customFormat="false" ht="15" hidden="false" customHeight="false" outlineLevel="0" collapsed="false">
      <c r="A5" s="6" t="s">
        <v>151</v>
      </c>
      <c r="B5" s="6" t="s">
        <v>152</v>
      </c>
      <c r="C5" s="6" t="s">
        <v>72</v>
      </c>
      <c r="D5" s="6" t="s">
        <v>56</v>
      </c>
      <c r="E5" s="6" t="s">
        <v>265</v>
      </c>
      <c r="F5" s="6" t="s">
        <v>266</v>
      </c>
      <c r="G5" s="6" t="s">
        <v>35</v>
      </c>
      <c r="H5" s="6" t="s">
        <v>24</v>
      </c>
      <c r="I5" s="6" t="s">
        <v>267</v>
      </c>
      <c r="J5" s="6" t="s">
        <v>35</v>
      </c>
      <c r="K5" s="11" t="s">
        <v>268</v>
      </c>
    </row>
    <row r="6" customFormat="false" ht="15" hidden="false" customHeight="false" outlineLevel="0" collapsed="false">
      <c r="A6" s="5" t="s">
        <v>269</v>
      </c>
      <c r="B6" s="5" t="s">
        <v>270</v>
      </c>
      <c r="C6" s="5" t="s">
        <v>271</v>
      </c>
      <c r="D6" s="5" t="s">
        <v>272</v>
      </c>
      <c r="E6" s="5" t="s">
        <v>273</v>
      </c>
      <c r="F6" s="5" t="s">
        <v>274</v>
      </c>
      <c r="G6" s="5" t="s">
        <v>35</v>
      </c>
      <c r="H6" s="5" t="s">
        <v>24</v>
      </c>
      <c r="I6" s="5" t="s">
        <v>14</v>
      </c>
      <c r="J6" s="5" t="s">
        <v>96</v>
      </c>
      <c r="K6" s="5"/>
    </row>
    <row r="7" customFormat="false" ht="23.85" hidden="false" customHeight="false" outlineLevel="0" collapsed="false">
      <c r="A7" s="6" t="s">
        <v>275</v>
      </c>
      <c r="B7" s="6" t="s">
        <v>276</v>
      </c>
      <c r="C7" s="6" t="s">
        <v>277</v>
      </c>
      <c r="D7" s="6" t="s">
        <v>157</v>
      </c>
      <c r="E7" s="6" t="s">
        <v>278</v>
      </c>
      <c r="F7" s="6" t="s">
        <v>279</v>
      </c>
      <c r="G7" s="6" t="s">
        <v>280</v>
      </c>
      <c r="H7" s="6" t="s">
        <v>24</v>
      </c>
      <c r="I7" s="6" t="s">
        <v>281</v>
      </c>
      <c r="J7" s="6" t="s">
        <v>78</v>
      </c>
      <c r="K7" s="6" t="s">
        <v>282</v>
      </c>
    </row>
    <row r="8" customFormat="false" ht="15" hidden="false" customHeight="false" outlineLevel="0" collapsed="false">
      <c r="A8" s="5" t="s">
        <v>283</v>
      </c>
      <c r="B8" s="5" t="s">
        <v>284</v>
      </c>
      <c r="C8" s="5" t="s">
        <v>285</v>
      </c>
      <c r="D8" s="5" t="s">
        <v>56</v>
      </c>
      <c r="E8" s="5" t="s">
        <v>286</v>
      </c>
      <c r="F8" s="5" t="s">
        <v>287</v>
      </c>
      <c r="G8" s="5" t="s">
        <v>288</v>
      </c>
      <c r="H8" s="5" t="s">
        <v>289</v>
      </c>
      <c r="I8" s="5" t="s">
        <v>14</v>
      </c>
      <c r="J8" s="5" t="s">
        <v>290</v>
      </c>
      <c r="K8" s="7" t="s">
        <v>291</v>
      </c>
    </row>
    <row r="9" customFormat="false" ht="15" hidden="false" customHeight="false" outlineLevel="0" collapsed="false">
      <c r="A9" s="6" t="s">
        <v>292</v>
      </c>
      <c r="B9" s="6" t="s">
        <v>293</v>
      </c>
      <c r="C9" s="6" t="s">
        <v>294</v>
      </c>
      <c r="D9" s="6" t="s">
        <v>295</v>
      </c>
      <c r="E9" s="6" t="s">
        <v>296</v>
      </c>
      <c r="F9" s="6" t="s">
        <v>297</v>
      </c>
      <c r="G9" s="6" t="s">
        <v>298</v>
      </c>
      <c r="H9" s="6" t="s">
        <v>24</v>
      </c>
      <c r="I9" s="6" t="s">
        <v>14</v>
      </c>
      <c r="J9" s="6" t="s">
        <v>290</v>
      </c>
      <c r="K9" s="11" t="s">
        <v>299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91E63"/>
    <pageSetUpPr fitToPage="false"/>
  </sheetPr>
  <dimension ref="A1:H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8" min="8" style="0" width="40"/>
  </cols>
  <sheetData>
    <row r="1" customFormat="false" ht="26.85" hidden="false" customHeight="false" outlineLevel="0" collapsed="false">
      <c r="A1" s="4" t="s">
        <v>253</v>
      </c>
      <c r="B1" s="4" t="s">
        <v>43</v>
      </c>
      <c r="C1" s="4" t="s">
        <v>44</v>
      </c>
      <c r="D1" s="4" t="s">
        <v>41</v>
      </c>
      <c r="E1" s="4" t="s">
        <v>300</v>
      </c>
      <c r="F1" s="4" t="s">
        <v>255</v>
      </c>
      <c r="G1" s="4" t="s">
        <v>54</v>
      </c>
      <c r="H1" s="4" t="s">
        <v>8</v>
      </c>
    </row>
    <row r="2" customFormat="false" ht="15" hidden="false" customHeight="false" outlineLevel="0" collapsed="false">
      <c r="A2" s="5" t="s">
        <v>301</v>
      </c>
      <c r="B2" s="5" t="s">
        <v>302</v>
      </c>
      <c r="C2" s="5" t="s">
        <v>303</v>
      </c>
      <c r="D2" s="5" t="s">
        <v>56</v>
      </c>
      <c r="E2" s="5" t="s">
        <v>304</v>
      </c>
      <c r="F2" s="5" t="s">
        <v>305</v>
      </c>
      <c r="G2" s="5" t="s">
        <v>306</v>
      </c>
      <c r="H2" s="7" t="s">
        <v>307</v>
      </c>
    </row>
    <row r="3" customFormat="false" ht="15" hidden="false" customHeight="false" outlineLevel="0" collapsed="false">
      <c r="A3" s="6" t="s">
        <v>308</v>
      </c>
      <c r="B3" s="6" t="s">
        <v>309</v>
      </c>
      <c r="C3" s="6" t="s">
        <v>310</v>
      </c>
      <c r="D3" s="6" t="s">
        <v>56</v>
      </c>
      <c r="E3" s="6" t="s">
        <v>311</v>
      </c>
      <c r="F3" s="6" t="s">
        <v>312</v>
      </c>
      <c r="G3" s="6" t="s">
        <v>306</v>
      </c>
      <c r="H3" s="6" t="s">
        <v>313</v>
      </c>
    </row>
    <row r="4" customFormat="false" ht="23.85" hidden="false" customHeight="false" outlineLevel="0" collapsed="false">
      <c r="A4" s="5" t="s">
        <v>314</v>
      </c>
      <c r="B4" s="5" t="s">
        <v>35</v>
      </c>
      <c r="C4" s="5" t="s">
        <v>315</v>
      </c>
      <c r="D4" s="5" t="s">
        <v>316</v>
      </c>
      <c r="E4" s="5" t="s">
        <v>317</v>
      </c>
      <c r="F4" s="5" t="s">
        <v>318</v>
      </c>
      <c r="G4" s="5" t="s">
        <v>306</v>
      </c>
      <c r="H4" s="5" t="s">
        <v>319</v>
      </c>
    </row>
    <row r="5" customFormat="false" ht="15" hidden="false" customHeight="false" outlineLevel="0" collapsed="false">
      <c r="A5" s="6" t="s">
        <v>320</v>
      </c>
      <c r="B5" s="6" t="s">
        <v>321</v>
      </c>
      <c r="C5" s="6" t="s">
        <v>322</v>
      </c>
      <c r="D5" s="6" t="s">
        <v>107</v>
      </c>
      <c r="E5" s="6" t="s">
        <v>323</v>
      </c>
      <c r="F5" s="6" t="s">
        <v>324</v>
      </c>
      <c r="G5" s="6" t="s">
        <v>306</v>
      </c>
      <c r="H5" s="11" t="s">
        <v>325</v>
      </c>
    </row>
    <row r="6" customFormat="false" ht="15" hidden="false" customHeight="false" outlineLevel="0" collapsed="false">
      <c r="A6" s="7" t="s">
        <v>326</v>
      </c>
      <c r="B6" s="5" t="s">
        <v>35</v>
      </c>
      <c r="C6" s="7" t="s">
        <v>228</v>
      </c>
      <c r="D6" s="5" t="s">
        <v>114</v>
      </c>
      <c r="E6" s="7" t="s">
        <v>327</v>
      </c>
      <c r="F6" s="5" t="s">
        <v>328</v>
      </c>
      <c r="G6" s="5" t="s">
        <v>306</v>
      </c>
      <c r="H6" s="7" t="s">
        <v>329</v>
      </c>
    </row>
    <row r="7" customFormat="false" ht="15" hidden="false" customHeight="false" outlineLevel="0" collapsed="false">
      <c r="A7" s="11" t="s">
        <v>330</v>
      </c>
      <c r="B7" s="6" t="s">
        <v>35</v>
      </c>
      <c r="C7" s="11" t="s">
        <v>331</v>
      </c>
      <c r="D7" s="6" t="s">
        <v>129</v>
      </c>
      <c r="E7" s="11" t="s">
        <v>327</v>
      </c>
      <c r="F7" s="6" t="s">
        <v>332</v>
      </c>
      <c r="G7" s="6" t="s">
        <v>306</v>
      </c>
      <c r="H7" s="11" t="s">
        <v>333</v>
      </c>
    </row>
    <row r="8" customFormat="false" ht="15" hidden="false" customHeight="false" outlineLevel="0" collapsed="false">
      <c r="A8" s="5" t="s">
        <v>334</v>
      </c>
      <c r="B8" s="5" t="s">
        <v>35</v>
      </c>
      <c r="C8" s="5" t="s">
        <v>271</v>
      </c>
      <c r="D8" s="5" t="s">
        <v>157</v>
      </c>
      <c r="E8" s="5" t="s">
        <v>335</v>
      </c>
      <c r="F8" s="5" t="s">
        <v>336</v>
      </c>
      <c r="G8" s="5" t="s">
        <v>35</v>
      </c>
      <c r="H8" s="5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27B0"/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40"/>
  </cols>
  <sheetData>
    <row r="1" customFormat="false" ht="26.85" hidden="false" customHeight="false" outlineLevel="0" collapsed="false">
      <c r="A1" s="4" t="s">
        <v>253</v>
      </c>
      <c r="B1" s="4" t="s">
        <v>43</v>
      </c>
      <c r="C1" s="4" t="s">
        <v>44</v>
      </c>
      <c r="D1" s="4" t="s">
        <v>300</v>
      </c>
      <c r="E1" s="4" t="s">
        <v>338</v>
      </c>
      <c r="F1" s="4" t="s">
        <v>8</v>
      </c>
    </row>
    <row r="2" customFormat="false" ht="15" hidden="false" customHeight="false" outlineLevel="0" collapsed="false">
      <c r="A2" s="5" t="s">
        <v>339</v>
      </c>
      <c r="B2" s="5" t="s">
        <v>340</v>
      </c>
      <c r="C2" s="5" t="s">
        <v>340</v>
      </c>
      <c r="D2" s="5" t="s">
        <v>341</v>
      </c>
      <c r="E2" s="5" t="s">
        <v>342</v>
      </c>
      <c r="F2" s="7" t="s">
        <v>343</v>
      </c>
    </row>
    <row r="3" customFormat="false" ht="15" hidden="false" customHeight="false" outlineLevel="0" collapsed="false">
      <c r="A3" s="6" t="s">
        <v>344</v>
      </c>
      <c r="B3" s="6" t="s">
        <v>345</v>
      </c>
      <c r="C3" s="6" t="s">
        <v>345</v>
      </c>
      <c r="D3" s="6" t="s">
        <v>346</v>
      </c>
      <c r="E3" s="6" t="s">
        <v>347</v>
      </c>
      <c r="F3" s="11" t="s">
        <v>348</v>
      </c>
    </row>
    <row r="4" customFormat="false" ht="15" hidden="false" customHeight="false" outlineLevel="0" collapsed="false">
      <c r="A4" s="5" t="s">
        <v>349</v>
      </c>
      <c r="B4" s="5" t="s">
        <v>350</v>
      </c>
      <c r="C4" s="5" t="s">
        <v>351</v>
      </c>
      <c r="D4" s="5" t="s">
        <v>352</v>
      </c>
      <c r="E4" s="5" t="s">
        <v>347</v>
      </c>
      <c r="F4" s="5" t="s">
        <v>353</v>
      </c>
    </row>
    <row r="5" customFormat="false" ht="15" hidden="false" customHeight="false" outlineLevel="0" collapsed="false">
      <c r="A5" s="6" t="s">
        <v>354</v>
      </c>
      <c r="B5" s="6" t="s">
        <v>355</v>
      </c>
      <c r="C5" s="6" t="s">
        <v>351</v>
      </c>
      <c r="D5" s="6" t="s">
        <v>356</v>
      </c>
      <c r="E5" s="6" t="s">
        <v>24</v>
      </c>
      <c r="F5" s="11" t="s">
        <v>357</v>
      </c>
    </row>
    <row r="6" customFormat="false" ht="15" hidden="false" customHeight="false" outlineLevel="0" collapsed="false">
      <c r="A6" s="5" t="s">
        <v>358</v>
      </c>
      <c r="B6" s="5" t="s">
        <v>359</v>
      </c>
      <c r="C6" s="5" t="s">
        <v>271</v>
      </c>
      <c r="D6" s="5" t="s">
        <v>360</v>
      </c>
      <c r="E6" s="5" t="s">
        <v>347</v>
      </c>
      <c r="F6" s="7" t="s">
        <v>361</v>
      </c>
    </row>
    <row r="7" customFormat="false" ht="15" hidden="false" customHeight="false" outlineLevel="0" collapsed="false">
      <c r="A7" s="6" t="s">
        <v>362</v>
      </c>
      <c r="B7" s="6" t="s">
        <v>35</v>
      </c>
      <c r="C7" s="6" t="s">
        <v>277</v>
      </c>
      <c r="D7" s="6" t="s">
        <v>363</v>
      </c>
      <c r="E7" s="6" t="s">
        <v>364</v>
      </c>
      <c r="F7" s="11" t="s">
        <v>365</v>
      </c>
    </row>
    <row r="8" customFormat="false" ht="15" hidden="false" customHeight="false" outlineLevel="0" collapsed="false">
      <c r="A8" s="5" t="s">
        <v>366</v>
      </c>
      <c r="B8" s="5" t="s">
        <v>367</v>
      </c>
      <c r="C8" s="5" t="s">
        <v>59</v>
      </c>
      <c r="D8" s="5" t="s">
        <v>368</v>
      </c>
      <c r="E8" s="5" t="s">
        <v>369</v>
      </c>
      <c r="F8" s="7" t="s">
        <v>370</v>
      </c>
    </row>
    <row r="9" customFormat="false" ht="15" hidden="false" customHeight="false" outlineLevel="0" collapsed="false">
      <c r="A9" s="6" t="s">
        <v>371</v>
      </c>
      <c r="B9" s="6" t="s">
        <v>35</v>
      </c>
      <c r="C9" s="6" t="s">
        <v>372</v>
      </c>
      <c r="D9" s="6" t="s">
        <v>373</v>
      </c>
      <c r="E9" s="6" t="s">
        <v>374</v>
      </c>
      <c r="F9" s="6" t="s">
        <v>375</v>
      </c>
    </row>
    <row r="10" customFormat="false" ht="15" hidden="false" customHeight="false" outlineLevel="0" collapsed="false">
      <c r="A10" s="5" t="s">
        <v>376</v>
      </c>
      <c r="B10" s="5" t="s">
        <v>377</v>
      </c>
      <c r="C10" s="5" t="s">
        <v>378</v>
      </c>
      <c r="D10" s="5" t="s">
        <v>379</v>
      </c>
      <c r="E10" s="5" t="s">
        <v>380</v>
      </c>
      <c r="F10" s="5" t="s">
        <v>381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4336"/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4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26.85" hidden="false" customHeight="false" outlineLevel="0" collapsed="false">
      <c r="A1" s="4" t="s">
        <v>7</v>
      </c>
      <c r="B1" s="4" t="s">
        <v>382</v>
      </c>
      <c r="C1" s="4" t="s">
        <v>383</v>
      </c>
      <c r="D1" s="4" t="s">
        <v>384</v>
      </c>
      <c r="E1" s="4" t="s">
        <v>385</v>
      </c>
      <c r="F1" s="4" t="s">
        <v>386</v>
      </c>
      <c r="G1" s="4" t="s">
        <v>387</v>
      </c>
      <c r="H1" s="4" t="s">
        <v>388</v>
      </c>
      <c r="I1" s="4" t="s">
        <v>389</v>
      </c>
      <c r="J1" s="4" t="s">
        <v>390</v>
      </c>
    </row>
    <row r="2" customFormat="false" ht="23.85" hidden="false" customHeight="false" outlineLevel="0" collapsed="false">
      <c r="A2" s="12" t="s">
        <v>391</v>
      </c>
      <c r="B2" s="5" t="s">
        <v>392</v>
      </c>
      <c r="C2" s="5" t="s">
        <v>393</v>
      </c>
      <c r="D2" s="5" t="s">
        <v>394</v>
      </c>
      <c r="E2" s="5" t="s">
        <v>395</v>
      </c>
      <c r="F2" s="7" t="s">
        <v>191</v>
      </c>
      <c r="G2" s="5" t="s">
        <v>396</v>
      </c>
      <c r="H2" s="5" t="s">
        <v>397</v>
      </c>
      <c r="I2" s="5" t="s">
        <v>398</v>
      </c>
      <c r="J2" s="5" t="s">
        <v>399</v>
      </c>
    </row>
    <row r="3" customFormat="false" ht="15" hidden="false" customHeight="false" outlineLevel="0" collapsed="false">
      <c r="A3" s="12" t="s">
        <v>400</v>
      </c>
      <c r="B3" s="6" t="s">
        <v>401</v>
      </c>
      <c r="C3" s="6" t="s">
        <v>402</v>
      </c>
      <c r="D3" s="6" t="s">
        <v>403</v>
      </c>
      <c r="E3" s="6" t="s">
        <v>404</v>
      </c>
      <c r="F3" s="6" t="s">
        <v>405</v>
      </c>
      <c r="G3" s="6" t="s">
        <v>406</v>
      </c>
      <c r="H3" s="6" t="s">
        <v>407</v>
      </c>
      <c r="I3" s="6" t="s">
        <v>408</v>
      </c>
      <c r="J3" s="11" t="s">
        <v>409</v>
      </c>
    </row>
    <row r="4" customFormat="false" ht="15" hidden="false" customHeight="false" outlineLevel="0" collapsed="false">
      <c r="A4" s="12" t="s">
        <v>410</v>
      </c>
      <c r="B4" s="5" t="s">
        <v>411</v>
      </c>
      <c r="C4" s="5" t="s">
        <v>412</v>
      </c>
      <c r="D4" s="5" t="s">
        <v>413</v>
      </c>
      <c r="E4" s="5" t="s">
        <v>414</v>
      </c>
      <c r="F4" s="7" t="s">
        <v>415</v>
      </c>
      <c r="G4" s="5" t="s">
        <v>416</v>
      </c>
      <c r="H4" s="5" t="s">
        <v>417</v>
      </c>
      <c r="I4" s="5" t="s">
        <v>418</v>
      </c>
      <c r="J4" s="5" t="s">
        <v>419</v>
      </c>
    </row>
    <row r="5" customFormat="false" ht="15" hidden="false" customHeight="false" outlineLevel="0" collapsed="false">
      <c r="A5" s="12" t="s">
        <v>420</v>
      </c>
      <c r="B5" s="6" t="s">
        <v>421</v>
      </c>
      <c r="C5" s="6" t="s">
        <v>422</v>
      </c>
      <c r="D5" s="6" t="s">
        <v>423</v>
      </c>
      <c r="E5" s="6" t="s">
        <v>424</v>
      </c>
      <c r="F5" s="6" t="s">
        <v>425</v>
      </c>
      <c r="G5" s="6" t="s">
        <v>426</v>
      </c>
      <c r="H5" s="6" t="s">
        <v>427</v>
      </c>
      <c r="I5" s="6" t="s">
        <v>428</v>
      </c>
      <c r="J5" s="6" t="s">
        <v>429</v>
      </c>
    </row>
    <row r="6" customFormat="false" ht="15" hidden="false" customHeight="false" outlineLevel="0" collapsed="false">
      <c r="A6" s="13" t="s">
        <v>430</v>
      </c>
      <c r="B6" s="5" t="s">
        <v>431</v>
      </c>
      <c r="C6" s="5" t="s">
        <v>195</v>
      </c>
      <c r="D6" s="5" t="s">
        <v>432</v>
      </c>
      <c r="E6" s="5" t="s">
        <v>433</v>
      </c>
      <c r="F6" s="7" t="s">
        <v>202</v>
      </c>
      <c r="G6" s="5" t="s">
        <v>434</v>
      </c>
      <c r="H6" s="5" t="s">
        <v>435</v>
      </c>
      <c r="I6" s="5" t="s">
        <v>436</v>
      </c>
      <c r="J6" s="7" t="s">
        <v>437</v>
      </c>
    </row>
    <row r="7" customFormat="false" ht="15" hidden="false" customHeight="false" outlineLevel="0" collapsed="false">
      <c r="A7" s="13" t="s">
        <v>438</v>
      </c>
      <c r="B7" s="6" t="s">
        <v>439</v>
      </c>
      <c r="C7" s="11" t="s">
        <v>440</v>
      </c>
      <c r="D7" s="6" t="s">
        <v>441</v>
      </c>
      <c r="E7" s="6" t="s">
        <v>442</v>
      </c>
      <c r="F7" s="11" t="s">
        <v>202</v>
      </c>
      <c r="G7" s="6" t="s">
        <v>443</v>
      </c>
      <c r="H7" s="6" t="s">
        <v>444</v>
      </c>
      <c r="I7" s="6" t="s">
        <v>398</v>
      </c>
      <c r="J7" s="11" t="s">
        <v>437</v>
      </c>
    </row>
    <row r="8" customFormat="false" ht="15" hidden="false" customHeight="false" outlineLevel="0" collapsed="false">
      <c r="A8" s="13" t="s">
        <v>445</v>
      </c>
      <c r="B8" s="5" t="s">
        <v>227</v>
      </c>
      <c r="C8" s="7" t="s">
        <v>228</v>
      </c>
      <c r="D8" s="5" t="s">
        <v>446</v>
      </c>
      <c r="E8" s="5" t="s">
        <v>447</v>
      </c>
      <c r="F8" s="7" t="s">
        <v>448</v>
      </c>
      <c r="G8" s="5" t="s">
        <v>416</v>
      </c>
      <c r="H8" s="5" t="s">
        <v>449</v>
      </c>
      <c r="I8" s="5" t="s">
        <v>450</v>
      </c>
      <c r="J8" s="7" t="s">
        <v>409</v>
      </c>
    </row>
    <row r="9" customFormat="false" ht="15" hidden="false" customHeight="false" outlineLevel="0" collapsed="false">
      <c r="A9" s="13" t="s">
        <v>451</v>
      </c>
      <c r="B9" s="6" t="s">
        <v>234</v>
      </c>
      <c r="C9" s="11" t="s">
        <v>132</v>
      </c>
      <c r="D9" s="6" t="s">
        <v>452</v>
      </c>
      <c r="E9" s="6" t="s">
        <v>447</v>
      </c>
      <c r="F9" s="11" t="s">
        <v>448</v>
      </c>
      <c r="G9" s="6" t="s">
        <v>426</v>
      </c>
      <c r="H9" s="6" t="s">
        <v>453</v>
      </c>
      <c r="I9" s="6" t="s">
        <v>450</v>
      </c>
      <c r="J9" s="11" t="s">
        <v>409</v>
      </c>
    </row>
    <row r="10" customFormat="false" ht="15" hidden="false" customHeight="false" outlineLevel="0" collapsed="false">
      <c r="A10" s="14" t="s">
        <v>454</v>
      </c>
      <c r="B10" s="5" t="s">
        <v>455</v>
      </c>
      <c r="C10" s="5" t="s">
        <v>35</v>
      </c>
      <c r="D10" s="5" t="s">
        <v>35</v>
      </c>
      <c r="E10" s="7" t="s">
        <v>456</v>
      </c>
      <c r="F10" s="7" t="s">
        <v>457</v>
      </c>
      <c r="G10" s="5" t="s">
        <v>35</v>
      </c>
      <c r="H10" s="5" t="s">
        <v>458</v>
      </c>
      <c r="I10" s="7" t="s">
        <v>459</v>
      </c>
      <c r="J10" s="7" t="s">
        <v>460</v>
      </c>
    </row>
    <row r="11" customFormat="false" ht="15" hidden="false" customHeight="false" outlineLevel="0" collapsed="false">
      <c r="A11" s="14" t="s">
        <v>461</v>
      </c>
      <c r="B11" s="6" t="s">
        <v>462</v>
      </c>
      <c r="C11" s="6" t="s">
        <v>35</v>
      </c>
      <c r="D11" s="6" t="s">
        <v>35</v>
      </c>
      <c r="E11" s="11" t="s">
        <v>463</v>
      </c>
      <c r="F11" s="11" t="s">
        <v>464</v>
      </c>
      <c r="G11" s="6" t="s">
        <v>35</v>
      </c>
      <c r="H11" s="6" t="s">
        <v>465</v>
      </c>
      <c r="I11" s="6" t="s">
        <v>466</v>
      </c>
      <c r="J11" s="11" t="s">
        <v>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07D8B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36"/>
    <col collapsed="false" customWidth="true" hidden="false" outlineLevel="0" max="5" min="5" style="0" width="42"/>
    <col collapsed="false" customWidth="true" hidden="false" outlineLevel="0" max="6" min="6" style="0" width="12"/>
    <col collapsed="false" customWidth="true" hidden="false" outlineLevel="0" max="7" min="7" style="0" width="24"/>
  </cols>
  <sheetData>
    <row r="1" customFormat="false" ht="26.85" hidden="false" customHeight="false" outlineLevel="0" collapsed="false">
      <c r="A1" s="4" t="s">
        <v>468</v>
      </c>
      <c r="B1" s="4" t="s">
        <v>469</v>
      </c>
      <c r="C1" s="4" t="s">
        <v>470</v>
      </c>
      <c r="D1" s="4" t="s">
        <v>471</v>
      </c>
      <c r="E1" s="4" t="s">
        <v>472</v>
      </c>
      <c r="F1" s="4" t="s">
        <v>54</v>
      </c>
      <c r="G1" s="4" t="s">
        <v>473</v>
      </c>
    </row>
    <row r="2" customFormat="false" ht="15" hidden="false" customHeight="false" outlineLevel="0" collapsed="false">
      <c r="A2" s="5" t="s">
        <v>474</v>
      </c>
      <c r="B2" s="5" t="s">
        <v>475</v>
      </c>
      <c r="C2" s="5" t="s">
        <v>476</v>
      </c>
      <c r="D2" s="5" t="s">
        <v>477</v>
      </c>
      <c r="E2" s="5" t="s">
        <v>478</v>
      </c>
      <c r="F2" s="5" t="s">
        <v>104</v>
      </c>
      <c r="G2" s="5" t="s">
        <v>479</v>
      </c>
    </row>
    <row r="3" customFormat="false" ht="15" hidden="false" customHeight="false" outlineLevel="0" collapsed="false">
      <c r="A3" s="6" t="s">
        <v>480</v>
      </c>
      <c r="B3" s="6" t="s">
        <v>481</v>
      </c>
      <c r="C3" s="6" t="s">
        <v>482</v>
      </c>
      <c r="D3" s="6" t="s">
        <v>483</v>
      </c>
      <c r="E3" s="6" t="s">
        <v>484</v>
      </c>
      <c r="F3" s="6" t="s">
        <v>78</v>
      </c>
      <c r="G3" s="6" t="s">
        <v>485</v>
      </c>
    </row>
    <row r="4" customFormat="false" ht="15" hidden="false" customHeight="false" outlineLevel="0" collapsed="false">
      <c r="A4" s="5" t="s">
        <v>486</v>
      </c>
      <c r="B4" s="5" t="s">
        <v>487</v>
      </c>
      <c r="C4" s="5" t="s">
        <v>488</v>
      </c>
      <c r="D4" s="5" t="s">
        <v>489</v>
      </c>
      <c r="E4" s="5" t="s">
        <v>490</v>
      </c>
      <c r="F4" s="5" t="s">
        <v>78</v>
      </c>
      <c r="G4" s="5" t="s">
        <v>491</v>
      </c>
    </row>
    <row r="5" customFormat="false" ht="15" hidden="false" customHeight="false" outlineLevel="0" collapsed="false">
      <c r="A5" s="6" t="s">
        <v>492</v>
      </c>
      <c r="B5" s="6" t="s">
        <v>493</v>
      </c>
      <c r="C5" s="6" t="s">
        <v>494</v>
      </c>
      <c r="D5" s="6" t="s">
        <v>495</v>
      </c>
      <c r="E5" s="6" t="s">
        <v>496</v>
      </c>
      <c r="F5" s="6" t="s">
        <v>306</v>
      </c>
      <c r="G5" s="6" t="s">
        <v>497</v>
      </c>
    </row>
    <row r="6" customFormat="false" ht="15" hidden="false" customHeight="false" outlineLevel="0" collapsed="false">
      <c r="A6" s="5" t="s">
        <v>498</v>
      </c>
      <c r="B6" s="5" t="s">
        <v>499</v>
      </c>
      <c r="C6" s="5" t="s">
        <v>500</v>
      </c>
      <c r="D6" s="5" t="s">
        <v>501</v>
      </c>
      <c r="E6" s="5" t="s">
        <v>502</v>
      </c>
      <c r="F6" s="5" t="s">
        <v>78</v>
      </c>
      <c r="G6" s="5" t="s">
        <v>485</v>
      </c>
    </row>
    <row r="7" customFormat="false" ht="15" hidden="false" customHeight="false" outlineLevel="0" collapsed="false">
      <c r="A7" s="6" t="s">
        <v>503</v>
      </c>
      <c r="B7" s="6" t="s">
        <v>504</v>
      </c>
      <c r="C7" s="6" t="s">
        <v>505</v>
      </c>
      <c r="D7" s="6" t="s">
        <v>506</v>
      </c>
      <c r="E7" s="6" t="s">
        <v>507</v>
      </c>
      <c r="F7" s="6" t="s">
        <v>78</v>
      </c>
      <c r="G7" s="6" t="s">
        <v>508</v>
      </c>
    </row>
    <row r="8" customFormat="false" ht="15" hidden="false" customHeight="false" outlineLevel="0" collapsed="false">
      <c r="A8" s="5" t="s">
        <v>509</v>
      </c>
      <c r="B8" s="5" t="s">
        <v>510</v>
      </c>
      <c r="C8" s="5" t="s">
        <v>511</v>
      </c>
      <c r="D8" s="5" t="s">
        <v>512</v>
      </c>
      <c r="E8" s="5" t="s">
        <v>513</v>
      </c>
      <c r="F8" s="5" t="s">
        <v>78</v>
      </c>
      <c r="G8" s="5" t="s">
        <v>514</v>
      </c>
    </row>
    <row r="9" customFormat="false" ht="15" hidden="false" customHeight="false" outlineLevel="0" collapsed="false">
      <c r="A9" s="6" t="s">
        <v>515</v>
      </c>
      <c r="B9" s="6" t="s">
        <v>516</v>
      </c>
      <c r="C9" s="6" t="s">
        <v>476</v>
      </c>
      <c r="D9" s="6" t="s">
        <v>517</v>
      </c>
      <c r="E9" s="6" t="s">
        <v>518</v>
      </c>
      <c r="F9" s="6" t="s">
        <v>78</v>
      </c>
      <c r="G9" s="6" t="s">
        <v>519</v>
      </c>
    </row>
    <row r="10" customFormat="false" ht="15" hidden="false" customHeight="false" outlineLevel="0" collapsed="false">
      <c r="A10" s="5" t="s">
        <v>520</v>
      </c>
      <c r="B10" s="5" t="s">
        <v>521</v>
      </c>
      <c r="C10" s="5" t="s">
        <v>522</v>
      </c>
      <c r="D10" s="5" t="s">
        <v>523</v>
      </c>
      <c r="E10" s="5" t="s">
        <v>524</v>
      </c>
      <c r="F10" s="5" t="s">
        <v>78</v>
      </c>
      <c r="G10" s="5" t="s">
        <v>525</v>
      </c>
    </row>
    <row r="11" customFormat="false" ht="15" hidden="false" customHeight="false" outlineLevel="0" collapsed="false">
      <c r="A11" s="6" t="s">
        <v>526</v>
      </c>
      <c r="B11" s="6" t="s">
        <v>527</v>
      </c>
      <c r="C11" s="6" t="s">
        <v>528</v>
      </c>
      <c r="D11" s="6" t="s">
        <v>489</v>
      </c>
      <c r="E11" s="6" t="s">
        <v>529</v>
      </c>
      <c r="F11" s="6" t="s">
        <v>530</v>
      </c>
      <c r="G11" s="6" t="s">
        <v>531</v>
      </c>
    </row>
    <row r="12" customFormat="false" ht="15" hidden="false" customHeight="false" outlineLevel="0" collapsed="false">
      <c r="A12" s="5" t="s">
        <v>532</v>
      </c>
      <c r="B12" s="5" t="s">
        <v>533</v>
      </c>
      <c r="C12" s="5" t="s">
        <v>534</v>
      </c>
      <c r="D12" s="5" t="s">
        <v>523</v>
      </c>
      <c r="E12" s="5" t="s">
        <v>535</v>
      </c>
      <c r="F12" s="5" t="s">
        <v>78</v>
      </c>
      <c r="G12" s="5" t="s">
        <v>536</v>
      </c>
    </row>
    <row r="13" customFormat="false" ht="15" hidden="false" customHeight="false" outlineLevel="0" collapsed="false">
      <c r="A13" s="6" t="s">
        <v>537</v>
      </c>
      <c r="B13" s="6" t="s">
        <v>538</v>
      </c>
      <c r="C13" s="6" t="s">
        <v>539</v>
      </c>
      <c r="D13" s="6" t="s">
        <v>517</v>
      </c>
      <c r="E13" s="6" t="s">
        <v>540</v>
      </c>
      <c r="F13" s="6" t="s">
        <v>78</v>
      </c>
      <c r="G13" s="6" t="s">
        <v>541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CD4"/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30"/>
  </cols>
  <sheetData>
    <row r="1" customFormat="false" ht="26.85" hidden="false" customHeight="false" outlineLevel="0" collapsed="false">
      <c r="A1" s="4" t="s">
        <v>253</v>
      </c>
      <c r="B1" s="4" t="s">
        <v>43</v>
      </c>
      <c r="C1" s="4" t="s">
        <v>542</v>
      </c>
      <c r="D1" s="4" t="s">
        <v>543</v>
      </c>
      <c r="E1" s="4" t="s">
        <v>544</v>
      </c>
      <c r="F1" s="4" t="s">
        <v>8</v>
      </c>
    </row>
    <row r="2" customFormat="false" ht="15" hidden="false" customHeight="false" outlineLevel="0" collapsed="false">
      <c r="A2" s="5" t="s">
        <v>292</v>
      </c>
      <c r="B2" s="5" t="s">
        <v>293</v>
      </c>
      <c r="C2" s="5" t="s">
        <v>545</v>
      </c>
      <c r="D2" s="5" t="s">
        <v>546</v>
      </c>
      <c r="E2" s="5" t="s">
        <v>547</v>
      </c>
      <c r="F2" s="5" t="s">
        <v>548</v>
      </c>
    </row>
    <row r="3" customFormat="false" ht="15" hidden="false" customHeight="false" outlineLevel="0" collapsed="false">
      <c r="A3" s="6" t="s">
        <v>283</v>
      </c>
      <c r="B3" s="6" t="s">
        <v>284</v>
      </c>
      <c r="C3" s="6" t="s">
        <v>549</v>
      </c>
      <c r="D3" s="6" t="s">
        <v>550</v>
      </c>
      <c r="E3" s="6" t="s">
        <v>551</v>
      </c>
      <c r="F3" s="6" t="s">
        <v>552</v>
      </c>
    </row>
    <row r="4" customFormat="false" ht="15" hidden="false" customHeight="false" outlineLevel="0" collapsed="false">
      <c r="A4" s="5" t="s">
        <v>553</v>
      </c>
      <c r="B4" s="5" t="s">
        <v>35</v>
      </c>
      <c r="C4" s="5" t="s">
        <v>554</v>
      </c>
      <c r="D4" s="5" t="s">
        <v>555</v>
      </c>
      <c r="E4" s="5" t="s">
        <v>556</v>
      </c>
      <c r="F4" s="7" t="s">
        <v>557</v>
      </c>
    </row>
    <row r="5" customFormat="false" ht="15" hidden="false" customHeight="false" outlineLevel="0" collapsed="false">
      <c r="A5" s="6" t="s">
        <v>90</v>
      </c>
      <c r="B5" s="6" t="s">
        <v>91</v>
      </c>
      <c r="C5" s="6" t="s">
        <v>558</v>
      </c>
      <c r="D5" s="11" t="s">
        <v>559</v>
      </c>
      <c r="E5" s="6" t="s">
        <v>560</v>
      </c>
      <c r="F5" s="6" t="s">
        <v>561</v>
      </c>
    </row>
    <row r="6" customFormat="false" ht="15" hidden="false" customHeight="false" outlineLevel="0" collapsed="false">
      <c r="A6" s="5" t="s">
        <v>562</v>
      </c>
      <c r="B6" s="5" t="s">
        <v>35</v>
      </c>
      <c r="C6" s="5" t="s">
        <v>563</v>
      </c>
      <c r="D6" s="5" t="s">
        <v>564</v>
      </c>
      <c r="E6" s="5" t="s">
        <v>565</v>
      </c>
      <c r="F6" s="5" t="s">
        <v>566</v>
      </c>
    </row>
    <row r="7" customFormat="false" ht="15" hidden="false" customHeight="false" outlineLevel="0" collapsed="false">
      <c r="A7" s="6" t="s">
        <v>567</v>
      </c>
      <c r="B7" s="6" t="s">
        <v>568</v>
      </c>
      <c r="C7" s="6" t="s">
        <v>569</v>
      </c>
      <c r="D7" s="11" t="s">
        <v>570</v>
      </c>
      <c r="E7" s="6" t="s">
        <v>571</v>
      </c>
      <c r="F7" s="11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107"/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36"/>
  </cols>
  <sheetData>
    <row r="1" customFormat="false" ht="26.85" hidden="false" customHeight="false" outlineLevel="0" collapsed="false">
      <c r="A1" s="4" t="s">
        <v>573</v>
      </c>
      <c r="B1" s="4" t="s">
        <v>171</v>
      </c>
      <c r="C1" s="4" t="s">
        <v>3</v>
      </c>
      <c r="D1" s="4" t="s">
        <v>574</v>
      </c>
      <c r="E1" s="4" t="s">
        <v>575</v>
      </c>
      <c r="F1" s="4" t="s">
        <v>178</v>
      </c>
      <c r="G1" s="4" t="s">
        <v>576</v>
      </c>
      <c r="H1" s="4" t="s">
        <v>8</v>
      </c>
    </row>
    <row r="2" customFormat="false" ht="23.85" hidden="false" customHeight="false" outlineLevel="0" collapsed="false">
      <c r="A2" s="5" t="s">
        <v>577</v>
      </c>
      <c r="B2" s="5" t="s">
        <v>578</v>
      </c>
      <c r="C2" s="5" t="s">
        <v>579</v>
      </c>
      <c r="D2" s="5" t="s">
        <v>580</v>
      </c>
      <c r="E2" s="5" t="s">
        <v>581</v>
      </c>
      <c r="F2" s="5" t="s">
        <v>582</v>
      </c>
      <c r="G2" s="5" t="s">
        <v>583</v>
      </c>
      <c r="H2" s="7" t="s">
        <v>584</v>
      </c>
    </row>
    <row r="3" customFormat="false" ht="15" hidden="false" customHeight="false" outlineLevel="0" collapsed="false">
      <c r="A3" s="6" t="s">
        <v>585</v>
      </c>
      <c r="B3" s="6" t="s">
        <v>578</v>
      </c>
      <c r="C3" s="6" t="s">
        <v>586</v>
      </c>
      <c r="D3" s="6" t="s">
        <v>587</v>
      </c>
      <c r="E3" s="11" t="s">
        <v>588</v>
      </c>
      <c r="F3" s="6" t="s">
        <v>21</v>
      </c>
      <c r="G3" s="6" t="s">
        <v>589</v>
      </c>
      <c r="H3" s="6" t="s">
        <v>590</v>
      </c>
    </row>
    <row r="4" customFormat="false" ht="15" hidden="false" customHeight="false" outlineLevel="0" collapsed="false">
      <c r="A4" s="5" t="s">
        <v>591</v>
      </c>
      <c r="B4" s="5" t="s">
        <v>578</v>
      </c>
      <c r="C4" s="5" t="s">
        <v>592</v>
      </c>
      <c r="D4" s="5" t="s">
        <v>593</v>
      </c>
      <c r="E4" s="7" t="s">
        <v>594</v>
      </c>
      <c r="F4" s="5" t="s">
        <v>21</v>
      </c>
      <c r="G4" s="5" t="s">
        <v>595</v>
      </c>
      <c r="H4" s="7" t="s">
        <v>596</v>
      </c>
    </row>
    <row r="5" customFormat="false" ht="15" hidden="false" customHeight="false" outlineLevel="0" collapsed="false">
      <c r="A5" s="6" t="s">
        <v>597</v>
      </c>
      <c r="B5" s="6" t="s">
        <v>598</v>
      </c>
      <c r="C5" s="6" t="s">
        <v>579</v>
      </c>
      <c r="D5" s="6" t="s">
        <v>599</v>
      </c>
      <c r="E5" s="6" t="s">
        <v>600</v>
      </c>
      <c r="F5" s="6" t="s">
        <v>601</v>
      </c>
      <c r="G5" s="6" t="s">
        <v>595</v>
      </c>
      <c r="H5" s="6" t="s">
        <v>602</v>
      </c>
    </row>
    <row r="6" customFormat="false" ht="23.85" hidden="false" customHeight="false" outlineLevel="0" collapsed="false">
      <c r="A6" s="5" t="s">
        <v>603</v>
      </c>
      <c r="B6" s="5" t="s">
        <v>598</v>
      </c>
      <c r="C6" s="5" t="s">
        <v>604</v>
      </c>
      <c r="D6" s="5" t="s">
        <v>605</v>
      </c>
      <c r="E6" s="5" t="s">
        <v>606</v>
      </c>
      <c r="F6" s="5" t="s">
        <v>25</v>
      </c>
      <c r="G6" s="5" t="s">
        <v>506</v>
      </c>
      <c r="H6" s="5" t="s">
        <v>607</v>
      </c>
    </row>
    <row r="7" customFormat="false" ht="15" hidden="false" customHeight="false" outlineLevel="0" collapsed="false">
      <c r="A7" s="6" t="s">
        <v>608</v>
      </c>
      <c r="B7" s="6" t="s">
        <v>598</v>
      </c>
      <c r="C7" s="6" t="s">
        <v>609</v>
      </c>
      <c r="D7" s="6" t="s">
        <v>610</v>
      </c>
      <c r="E7" s="6" t="s">
        <v>611</v>
      </c>
      <c r="F7" s="6" t="s">
        <v>25</v>
      </c>
      <c r="G7" s="6" t="s">
        <v>612</v>
      </c>
      <c r="H7" s="6" t="s">
        <v>613</v>
      </c>
    </row>
    <row r="8" customFormat="false" ht="15" hidden="false" customHeight="false" outlineLevel="0" collapsed="false">
      <c r="A8" s="5" t="s">
        <v>614</v>
      </c>
      <c r="B8" s="5" t="s">
        <v>615</v>
      </c>
      <c r="C8" s="5" t="s">
        <v>616</v>
      </c>
      <c r="D8" s="5" t="s">
        <v>617</v>
      </c>
      <c r="E8" s="7" t="s">
        <v>618</v>
      </c>
      <c r="F8" s="5" t="s">
        <v>11</v>
      </c>
      <c r="G8" s="5" t="s">
        <v>35</v>
      </c>
      <c r="H8" s="7" t="s">
        <v>619</v>
      </c>
    </row>
    <row r="9" customFormat="false" ht="23.85" hidden="false" customHeight="false" outlineLevel="0" collapsed="false">
      <c r="A9" s="6" t="s">
        <v>620</v>
      </c>
      <c r="B9" s="6" t="s">
        <v>615</v>
      </c>
      <c r="C9" s="6" t="s">
        <v>621</v>
      </c>
      <c r="D9" s="6" t="s">
        <v>622</v>
      </c>
      <c r="E9" s="11" t="s">
        <v>623</v>
      </c>
      <c r="F9" s="6" t="s">
        <v>11</v>
      </c>
      <c r="G9" s="6" t="s">
        <v>35</v>
      </c>
      <c r="H9" s="11" t="s">
        <v>624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CAF50"/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6" min="4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5" t="s">
        <v>625</v>
      </c>
    </row>
    <row r="3" customFormat="false" ht="26.85" hidden="false" customHeight="false" outlineLevel="0" collapsed="false">
      <c r="A3" s="4" t="s">
        <v>626</v>
      </c>
      <c r="B3" s="4" t="s">
        <v>627</v>
      </c>
      <c r="C3" s="4" t="s">
        <v>628</v>
      </c>
      <c r="D3" s="4" t="s">
        <v>629</v>
      </c>
      <c r="E3" s="4" t="s">
        <v>630</v>
      </c>
      <c r="F3" s="4" t="s">
        <v>631</v>
      </c>
      <c r="G3" s="4" t="s">
        <v>632</v>
      </c>
    </row>
    <row r="4" customFormat="false" ht="15" hidden="false" customHeight="false" outlineLevel="0" collapsed="false">
      <c r="A4" s="6" t="s">
        <v>633</v>
      </c>
      <c r="B4" s="16" t="n">
        <v>80000</v>
      </c>
      <c r="C4" s="16" t="n">
        <v>50000</v>
      </c>
      <c r="D4" s="16" t="n">
        <v>80</v>
      </c>
      <c r="E4" s="16" t="n">
        <v>960</v>
      </c>
      <c r="F4" s="16" t="n">
        <f aca="false">B4-E4</f>
        <v>79040</v>
      </c>
      <c r="G4" s="17" t="n">
        <f aca="false">F4/B4</f>
        <v>0.988</v>
      </c>
    </row>
    <row r="5" customFormat="false" ht="15" hidden="false" customHeight="false" outlineLevel="0" collapsed="false">
      <c r="A5" s="6" t="s">
        <v>481</v>
      </c>
      <c r="B5" s="16" t="n">
        <v>70000</v>
      </c>
      <c r="C5" s="16" t="n">
        <v>40000</v>
      </c>
      <c r="D5" s="16" t="n">
        <v>80</v>
      </c>
      <c r="E5" s="16" t="n">
        <v>960</v>
      </c>
      <c r="F5" s="16" t="n">
        <f aca="false">B5-E5</f>
        <v>69040</v>
      </c>
      <c r="G5" s="17" t="n">
        <f aca="false">F5/B5</f>
        <v>0.986285714285714</v>
      </c>
    </row>
    <row r="6" customFormat="false" ht="15" hidden="false" customHeight="false" outlineLevel="0" collapsed="false">
      <c r="A6" s="6" t="s">
        <v>634</v>
      </c>
      <c r="B6" s="16" t="n">
        <v>100000</v>
      </c>
      <c r="C6" s="16" t="n">
        <v>60000</v>
      </c>
      <c r="D6" s="16" t="n">
        <v>80</v>
      </c>
      <c r="E6" s="16" t="n">
        <v>960</v>
      </c>
      <c r="F6" s="16" t="n">
        <f aca="false">B6-E6</f>
        <v>99040</v>
      </c>
      <c r="G6" s="17" t="n">
        <f aca="false">F6/B6</f>
        <v>0.9904</v>
      </c>
    </row>
    <row r="7" customFormat="false" ht="15" hidden="false" customHeight="false" outlineLevel="0" collapsed="false">
      <c r="A7" s="6" t="s">
        <v>635</v>
      </c>
      <c r="B7" s="16" t="n">
        <v>75000</v>
      </c>
      <c r="C7" s="16" t="n">
        <v>45000</v>
      </c>
      <c r="D7" s="16" t="n">
        <v>80</v>
      </c>
      <c r="E7" s="16" t="n">
        <v>960</v>
      </c>
      <c r="F7" s="16" t="n">
        <f aca="false">B7-E7</f>
        <v>74040</v>
      </c>
      <c r="G7" s="17" t="n">
        <f aca="false">F7/B7</f>
        <v>0.9872</v>
      </c>
    </row>
    <row r="8" customFormat="false" ht="15" hidden="false" customHeight="false" outlineLevel="0" collapsed="false">
      <c r="A8" s="6" t="s">
        <v>499</v>
      </c>
      <c r="B8" s="16" t="n">
        <v>160000</v>
      </c>
      <c r="C8" s="16" t="n">
        <v>100000</v>
      </c>
      <c r="D8" s="16" t="n">
        <v>300</v>
      </c>
      <c r="E8" s="16" t="n">
        <v>3600</v>
      </c>
      <c r="F8" s="16" t="n">
        <f aca="false">B8-E8</f>
        <v>156400</v>
      </c>
      <c r="G8" s="17" t="n">
        <f aca="false">F8/B8</f>
        <v>0.9775</v>
      </c>
    </row>
    <row r="9" customFormat="false" ht="15" hidden="false" customHeight="false" outlineLevel="0" collapsed="false">
      <c r="A9" s="6" t="s">
        <v>636</v>
      </c>
      <c r="B9" s="16" t="n">
        <v>95000</v>
      </c>
      <c r="C9" s="16" t="n">
        <v>55000</v>
      </c>
      <c r="D9" s="16" t="n">
        <v>80</v>
      </c>
      <c r="E9" s="16" t="n">
        <v>960</v>
      </c>
      <c r="F9" s="16" t="n">
        <f aca="false">B9-E9</f>
        <v>94040</v>
      </c>
      <c r="G9" s="17" t="n">
        <f aca="false">F9/B9</f>
        <v>0.989894736842105</v>
      </c>
    </row>
    <row r="10" customFormat="false" ht="15" hidden="false" customHeight="false" outlineLevel="0" collapsed="false">
      <c r="A10" s="6" t="s">
        <v>637</v>
      </c>
      <c r="B10" s="16" t="n">
        <v>100000</v>
      </c>
      <c r="C10" s="16" t="n">
        <v>60000</v>
      </c>
      <c r="D10" s="16" t="n">
        <v>300</v>
      </c>
      <c r="E10" s="16" t="n">
        <v>3600</v>
      </c>
      <c r="F10" s="16" t="n">
        <f aca="false">B10-E10</f>
        <v>96400</v>
      </c>
      <c r="G10" s="17" t="n">
        <f aca="false">F10/B10</f>
        <v>0.964</v>
      </c>
    </row>
    <row r="11" customFormat="false" ht="15" hidden="false" customHeight="false" outlineLevel="0" collapsed="false">
      <c r="A11" s="6" t="s">
        <v>521</v>
      </c>
      <c r="B11" s="16" t="n">
        <v>50000</v>
      </c>
      <c r="C11" s="16" t="n">
        <v>30000</v>
      </c>
      <c r="D11" s="16" t="n">
        <v>20</v>
      </c>
      <c r="E11" s="16" t="n">
        <v>240</v>
      </c>
      <c r="F11" s="16" t="n">
        <f aca="false">B11-E11</f>
        <v>49760</v>
      </c>
      <c r="G11" s="17" t="n">
        <f aca="false">F11/B11</f>
        <v>0.9952</v>
      </c>
    </row>
    <row r="12" customFormat="false" ht="15" hidden="false" customHeight="false" outlineLevel="0" collapsed="false">
      <c r="A12" s="6" t="s">
        <v>527</v>
      </c>
      <c r="B12" s="16" t="n">
        <v>75000</v>
      </c>
      <c r="C12" s="16" t="n">
        <v>45000</v>
      </c>
      <c r="D12" s="16" t="n">
        <v>80</v>
      </c>
      <c r="E12" s="16" t="n">
        <v>960</v>
      </c>
      <c r="F12" s="16" t="n">
        <f aca="false">B12-E12</f>
        <v>74040</v>
      </c>
      <c r="G12" s="17" t="n">
        <f aca="false">F12/B12</f>
        <v>0.9872</v>
      </c>
    </row>
    <row r="13" customFormat="false" ht="15" hidden="false" customHeight="false" outlineLevel="0" collapsed="false">
      <c r="A13" s="6" t="s">
        <v>638</v>
      </c>
      <c r="B13" s="16" t="n">
        <v>70000</v>
      </c>
      <c r="C13" s="16" t="n">
        <v>40000</v>
      </c>
      <c r="D13" s="16" t="n">
        <v>80</v>
      </c>
      <c r="E13" s="16" t="n">
        <v>960</v>
      </c>
      <c r="F13" s="16" t="n">
        <f aca="false">B13-E13</f>
        <v>69040</v>
      </c>
      <c r="G13" s="17" t="n">
        <f aca="false">F13/B13</f>
        <v>0.986285714285714</v>
      </c>
    </row>
    <row r="14" customFormat="false" ht="15" hidden="false" customHeight="false" outlineLevel="0" collapsed="false">
      <c r="A14" s="18" t="s">
        <v>639</v>
      </c>
      <c r="B14" s="19" t="n">
        <f aca="false">SUM(B4:B13)</f>
        <v>875000</v>
      </c>
      <c r="C14" s="19" t="n">
        <f aca="false">SUM(C4:C13)</f>
        <v>525000</v>
      </c>
      <c r="D14" s="18"/>
      <c r="E14" s="19" t="n">
        <f aca="false">SUM(E4:E13)</f>
        <v>14160</v>
      </c>
      <c r="F14" s="19" t="n">
        <f aca="false">SUM(F4:F13)</f>
        <v>860840</v>
      </c>
      <c r="G14" s="20" t="n">
        <f aca="false">F14/B14</f>
        <v>0.983817142857143</v>
      </c>
    </row>
    <row r="16" customFormat="false" ht="15" hidden="false" customHeight="false" outlineLevel="0" collapsed="false">
      <c r="A16" s="21" t="s">
        <v>640</v>
      </c>
    </row>
    <row r="17" customFormat="false" ht="15" hidden="false" customHeight="false" outlineLevel="0" collapsed="false">
      <c r="A17" s="21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2026-03-16T13:48:32Z</dcterms:created>
  <dc:creator>openpyxl</dc:creator>
  <dc:description/>
  <dc:language>en-US</dc:language>
  <cp:lastModifiedBy/>
  <dcterms:modified xsi:type="dcterms:W3CDTF">2026-03-16T13:48:32Z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