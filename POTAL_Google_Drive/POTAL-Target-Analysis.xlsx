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Segments" sheetId="1" state="visible" r:id="rId3"/>
    <sheet name="Revenue Simulation" sheetId="2" state="visible" r:id="rId4"/>
    <sheet name="Competitor Savings" sheetId="3" state="visible" r:id="rId5"/>
    <sheet name="Key 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<sst xmlns="http://schemas.openxmlformats.org/spreadsheetml/2006/main" count="126" uniqueCount="110">
  <si>
    <t xml:space="preserve">POTAL Target Segment Analysis — API Usage &amp; Revenue Model</t>
  </si>
  <si>
    <t xml:space="preserve">Source: Shopify Statistics 2024-2025, Cross-Border eCommerce Market Data, Industry Benchmarks</t>
  </si>
  <si>
    <t xml:space="preserve">Target Segment</t>
  </si>
  <si>
    <t xml:space="preserve">Avg Monthly
Orders</t>
  </si>
  <si>
    <t xml:space="preserve">Cross-Border
%</t>
  </si>
  <si>
    <t xml:space="preserve">API Calls
per Order</t>
  </si>
  <si>
    <t xml:space="preserve">Monthly
API Calls</t>
  </si>
  <si>
    <t xml:space="preserve">POTAL Plan</t>
  </si>
  <si>
    <t xml:space="preserve">Monthly
Cost ($)</t>
  </si>
  <si>
    <t xml:space="preserve">Cost per
API Call ($)</t>
  </si>
  <si>
    <t xml:space="preserve">Alternative
(Competitor)</t>
  </si>
  <si>
    <t xml:space="preserve">Competitor
Cost ($)</t>
  </si>
  <si>
    <r>
      <rPr>
        <b val="true"/>
        <sz val="10"/>
        <color rgb="FF1B2A4A"/>
        <rFont val="Arial"/>
        <family val="0"/>
        <charset val="1"/>
      </rPr>
      <t xml:space="preserve">Segment 1: Shopify Hobby/Side-Project Sellers (1</t>
    </r>
    <r>
      <rPr>
        <b val="true"/>
        <sz val="10"/>
        <color rgb="FF1B2A4A"/>
        <rFont val="DejaVu Sans"/>
        <family val="2"/>
      </rPr>
      <t xml:space="preserve">인 셀러</t>
    </r>
    <r>
      <rPr>
        <b val="true"/>
        <sz val="10"/>
        <color rgb="FF1B2A4A"/>
        <rFont val="Arial"/>
        <family val="0"/>
        <charset val="1"/>
      </rPr>
      <t xml:space="preserve">, </t>
    </r>
    <r>
      <rPr>
        <b val="true"/>
        <sz val="10"/>
        <color rgb="FF1B2A4A"/>
        <rFont val="DejaVu Sans"/>
        <family val="2"/>
      </rPr>
      <t xml:space="preserve">부업</t>
    </r>
    <r>
      <rPr>
        <b val="true"/>
        <sz val="10"/>
        <color rgb="FF1B2A4A"/>
        <rFont val="Arial"/>
        <family val="0"/>
        <charset val="1"/>
      </rPr>
      <t xml:space="preserve">)</t>
    </r>
  </si>
  <si>
    <t xml:space="preserve">Hobby Seller (1-50 orders/mo)</t>
  </si>
  <si>
    <t xml:space="preserve">Starter (Free)</t>
  </si>
  <si>
    <t xml:space="preserve">Dutify Basic</t>
  </si>
  <si>
    <t xml:space="preserve">Hobby Seller (50-100 orders/mo)</t>
  </si>
  <si>
    <r>
      <rPr>
        <b val="true"/>
        <sz val="10"/>
        <color rgb="FF1B2A4A"/>
        <rFont val="Arial"/>
        <family val="0"/>
        <charset val="1"/>
      </rPr>
      <t xml:space="preserve">Segment 2: Small Shopify Sellers (</t>
    </r>
    <r>
      <rPr>
        <b val="true"/>
        <sz val="10"/>
        <color rgb="FF1B2A4A"/>
        <rFont val="DejaVu Sans"/>
        <family val="2"/>
      </rPr>
      <t xml:space="preserve">소규모 셀러</t>
    </r>
    <r>
      <rPr>
        <b val="true"/>
        <sz val="10"/>
        <color rgb="FF1B2A4A"/>
        <rFont val="Arial"/>
        <family val="0"/>
        <charset val="1"/>
      </rPr>
      <t xml:space="preserve">, </t>
    </r>
    <r>
      <rPr>
        <b val="true"/>
        <sz val="10"/>
        <color rgb="FF1B2A4A"/>
        <rFont val="DejaVu Sans"/>
        <family val="2"/>
      </rPr>
      <t xml:space="preserve">본업</t>
    </r>
    <r>
      <rPr>
        <b val="true"/>
        <sz val="10"/>
        <color rgb="FF1B2A4A"/>
        <rFont val="Arial"/>
        <family val="0"/>
        <charset val="1"/>
      </rPr>
      <t xml:space="preserve">)</t>
    </r>
  </si>
  <si>
    <t xml:space="preserve">Small Seller (100-300 orders/mo)</t>
  </si>
  <si>
    <t xml:space="preserve">Dutify Plus</t>
  </si>
  <si>
    <t xml:space="preserve">Small Seller (300-500 orders/mo)</t>
  </si>
  <si>
    <r>
      <rPr>
        <b val="true"/>
        <sz val="10"/>
        <color rgb="FF1B2A4A"/>
        <rFont val="Arial"/>
        <family val="0"/>
        <charset val="1"/>
      </rPr>
      <t xml:space="preserve">Segment 3: Medium Shopify Sellers (</t>
    </r>
    <r>
      <rPr>
        <b val="true"/>
        <sz val="10"/>
        <color rgb="FF1B2A4A"/>
        <rFont val="DejaVu Sans"/>
        <family val="2"/>
      </rPr>
      <t xml:space="preserve">중규모</t>
    </r>
    <r>
      <rPr>
        <b val="true"/>
        <sz val="10"/>
        <color rgb="FF1B2A4A"/>
        <rFont val="Arial"/>
        <family val="0"/>
        <charset val="1"/>
      </rPr>
      <t xml:space="preserve">, </t>
    </r>
    <r>
      <rPr>
        <b val="true"/>
        <sz val="10"/>
        <color rgb="FF1B2A4A"/>
        <rFont val="DejaVu Sans"/>
        <family val="2"/>
      </rPr>
      <t xml:space="preserve">전문 셀러</t>
    </r>
    <r>
      <rPr>
        <b val="true"/>
        <sz val="10"/>
        <color rgb="FF1B2A4A"/>
        <rFont val="Arial"/>
        <family val="0"/>
        <charset val="1"/>
      </rPr>
      <t xml:space="preserve">)</t>
    </r>
  </si>
  <si>
    <t xml:space="preserve">Medium Seller (500-1K orders/mo)</t>
  </si>
  <si>
    <t xml:space="preserve">Dutify Pro</t>
  </si>
  <si>
    <t xml:space="preserve">Medium Seller (1K-3K orders/mo)</t>
  </si>
  <si>
    <t xml:space="preserve">Growth ($49)</t>
  </si>
  <si>
    <r>
      <rPr>
        <b val="true"/>
        <sz val="10"/>
        <color rgb="FF1B2A4A"/>
        <rFont val="Arial"/>
        <family val="0"/>
        <charset val="1"/>
      </rPr>
      <t xml:space="preserve">Segment 4: SaaS/Platform Developers (</t>
    </r>
    <r>
      <rPr>
        <b val="true"/>
        <sz val="10"/>
        <color rgb="FF1B2A4A"/>
        <rFont val="DejaVu Sans"/>
        <family val="2"/>
      </rPr>
      <t xml:space="preserve">개발자</t>
    </r>
    <r>
      <rPr>
        <b val="true"/>
        <sz val="10"/>
        <color rgb="FF1B2A4A"/>
        <rFont val="Arial"/>
        <family val="0"/>
        <charset val="1"/>
      </rPr>
      <t xml:space="preserve">, API </t>
    </r>
    <r>
      <rPr>
        <b val="true"/>
        <sz val="10"/>
        <color rgb="FF1B2A4A"/>
        <rFont val="DejaVu Sans"/>
        <family val="2"/>
      </rPr>
      <t xml:space="preserve">중심</t>
    </r>
    <r>
      <rPr>
        <b val="true"/>
        <sz val="10"/>
        <color rgb="FF1B2A4A"/>
        <rFont val="Arial"/>
        <family val="0"/>
        <charset val="1"/>
      </rPr>
      <t xml:space="preserve">)</t>
    </r>
  </si>
  <si>
    <t xml:space="preserve">Indie Dev / Side Project</t>
  </si>
  <si>
    <t xml:space="preserve">SimplyDuty</t>
  </si>
  <si>
    <t xml:space="preserve">Startup (MVP/Growth)</t>
  </si>
  <si>
    <t xml:space="preserve">Scale-up Platform</t>
  </si>
  <si>
    <t xml:space="preserve">Zonos</t>
  </si>
  <si>
    <r>
      <rPr>
        <b val="true"/>
        <sz val="10"/>
        <color rgb="FF1B2A4A"/>
        <rFont val="Arial"/>
        <family val="0"/>
        <charset val="1"/>
      </rPr>
      <t xml:space="preserve">Segment 5: Price Comparison / Shopping Assistant (</t>
    </r>
    <r>
      <rPr>
        <b val="true"/>
        <sz val="10"/>
        <color rgb="FF1B2A4A"/>
        <rFont val="DejaVu Sans"/>
        <family val="2"/>
      </rPr>
      <t xml:space="preserve">가격비교 서비스</t>
    </r>
    <r>
      <rPr>
        <b val="true"/>
        <sz val="10"/>
        <color rgb="FF1B2A4A"/>
        <rFont val="Arial"/>
        <family val="0"/>
        <charset val="1"/>
      </rPr>
      <t xml:space="preserve">)</t>
    </r>
  </si>
  <si>
    <t xml:space="preserve">Small Comparison Site</t>
  </si>
  <si>
    <t xml:space="preserve">Medium Comparison Platform</t>
  </si>
  <si>
    <t xml:space="preserve">POTAL Revenue Simulation — 12-Month Projection</t>
  </si>
  <si>
    <t xml:space="preserve">Key Assumptions (Blue = Input)</t>
  </si>
  <si>
    <t xml:space="preserve">Shopify App Store Monthly Installs</t>
  </si>
  <si>
    <t xml:space="preserve">Source: Avg for new Shopify app (first 6 months)</t>
  </si>
  <si>
    <t xml:space="preserve">Install Growth Rate (MoM)</t>
  </si>
  <si>
    <t xml:space="preserve">Source: Shopify App Store growth benchmarks</t>
  </si>
  <si>
    <t xml:space="preserve">Starter → Growth Conversion Rate</t>
  </si>
  <si>
    <t xml:space="preserve">Source: SaaS industry avg 3-7%</t>
  </si>
  <si>
    <t xml:space="preserve">Monthly Churn Rate (Growth plan)</t>
  </si>
  <si>
    <t xml:space="preserve">Source: SaaS SMB avg 3-5%</t>
  </si>
  <si>
    <t xml:space="preserve">Avg API Calls per Starter User/mo</t>
  </si>
  <si>
    <t xml:space="preserve">Source: Estimated from segment data</t>
  </si>
  <si>
    <t xml:space="preserve">Avg API Calls per Growth User/mo</t>
  </si>
  <si>
    <t xml:space="preserve">Growth Plan Price ($/mo)</t>
  </si>
  <si>
    <t xml:space="preserve">POTAL current pricing</t>
  </si>
  <si>
    <t xml:space="preserve">AI Classification Cost per New Product ($)</t>
  </si>
  <si>
    <t xml:space="preserve">GPT-4o-mini pricing estimate</t>
  </si>
  <si>
    <t xml:space="preserve">Cache Hit Rate (converges over time)</t>
  </si>
  <si>
    <t xml:space="preserve">Starts 0%, reaches ~90% by Month 12</t>
  </si>
  <si>
    <t xml:space="preserve">Month</t>
  </si>
  <si>
    <t xml:space="preserve">New Installs</t>
  </si>
  <si>
    <t xml:space="preserve">Total Starter
Users</t>
  </si>
  <si>
    <t xml:space="preserve">Growth
Conversions</t>
  </si>
  <si>
    <t xml:space="preserve">Total Growth
Users</t>
  </si>
  <si>
    <t xml:space="preserve">MRR ($)</t>
  </si>
  <si>
    <t xml:space="preserve">Total API
Calls</t>
  </si>
  <si>
    <t xml:space="preserve">AI Cost ($)</t>
  </si>
  <si>
    <t xml:space="preserve">Net Revenue ($)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</si>
  <si>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</si>
  <si>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</si>
  <si>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</si>
  <si>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</si>
  <si>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</si>
  <si>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</si>
  <si>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</si>
  <si>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</si>
  <si>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</si>
  <si>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</si>
  <si>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</si>
  <si>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</si>
  <si>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12-Month Total</t>
  </si>
  <si>
    <t xml:space="preserve">POTAL vs Competitors — Customer Savings by Volume</t>
  </si>
  <si>
    <t xml:space="preserve">Monthly API Calls</t>
  </si>
  <si>
    <t xml:space="preserve">POTAL
Cost ($)</t>
  </si>
  <si>
    <t xml:space="preserve">Dutify
Cost ($)</t>
  </si>
  <si>
    <t xml:space="preserve">SimplyDuty
Cost ($)</t>
  </si>
  <si>
    <t xml:space="preserve">Zonos
Cost ($)</t>
  </si>
  <si>
    <t xml:space="preserve">Best Savings
vs POTAL ($)</t>
  </si>
  <si>
    <t xml:space="preserve">Savings %</t>
  </si>
  <si>
    <t xml:space="preserve">Note: Zonos cost includes setup amortization + per-order fees. SimplyDuty at £0.10/call (~$0.13). Dutify based on published tier pricing.</t>
  </si>
  <si>
    <t xml:space="preserve">POTAL Key Business Insights</t>
  </si>
  <si>
    <t xml:space="preserve">#</t>
  </si>
  <si>
    <t xml:space="preserve">Insight</t>
  </si>
  <si>
    <r>
      <rPr>
        <b val="true"/>
        <sz val="11"/>
        <color rgb="FFFFFFFF"/>
        <rFont val="Arial"/>
        <family val="0"/>
        <charset val="1"/>
      </rPr>
      <t xml:space="preserve">Detail (</t>
    </r>
    <r>
      <rPr>
        <b val="true"/>
        <sz val="11"/>
        <color rgb="FFFFFFFF"/>
        <rFont val="DejaVu Sans"/>
        <family val="2"/>
      </rPr>
      <t xml:space="preserve">한국어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</si>
  <si>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</t>
  </si>
  <si>
    <t xml:space="preserve">Primary Revenue Target: Shopify Small Sellers (100-3K orders/mo)</t>
  </si>
  <si>
    <r>
      <rPr>
        <sz val="10"/>
        <color rgb="FF444444"/>
        <rFont val="Arial"/>
        <family val="0"/>
        <charset val="1"/>
      </rPr>
      <t xml:space="preserve">Free tier</t>
    </r>
    <r>
      <rPr>
        <sz val="10"/>
        <color rgb="FF444444"/>
        <rFont val="DejaVu Sans"/>
        <family val="2"/>
      </rPr>
      <t xml:space="preserve">로 유입 → </t>
    </r>
    <r>
      <rPr>
        <sz val="10"/>
        <color rgb="FF444444"/>
        <rFont val="Arial"/>
        <family val="0"/>
        <charset val="1"/>
      </rPr>
      <t xml:space="preserve">Growth $49 </t>
    </r>
    <r>
      <rPr>
        <sz val="10"/>
        <color rgb="FF444444"/>
        <rFont val="DejaVu Sans"/>
        <family val="2"/>
      </rPr>
      <t xml:space="preserve">전환이 핵심 수익원</t>
    </r>
  </si>
  <si>
    <t xml:space="preserve">2</t>
  </si>
  <si>
    <r>
      <rPr>
        <sz val="10"/>
        <rFont val="Arial"/>
        <family val="0"/>
        <charset val="1"/>
      </rPr>
      <t xml:space="preserve">Starter Free 5,000</t>
    </r>
    <r>
      <rPr>
        <sz val="10"/>
        <rFont val="DejaVu Sans"/>
        <family val="2"/>
      </rPr>
      <t xml:space="preserve">건으로 </t>
    </r>
    <r>
      <rPr>
        <sz val="10"/>
        <rFont val="Arial"/>
        <family val="0"/>
        <charset val="1"/>
      </rPr>
      <t xml:space="preserve">Small Seller </t>
    </r>
    <r>
      <rPr>
        <sz val="10"/>
        <rFont val="DejaVu Sans"/>
        <family val="2"/>
      </rPr>
      <t xml:space="preserve">대부분 커버</t>
    </r>
  </si>
  <si>
    <r>
      <rPr>
        <sz val="10"/>
        <color rgb="FF444444"/>
        <rFont val="DejaVu Sans"/>
        <family val="2"/>
      </rPr>
      <t xml:space="preserve">유입 장벽 제로</t>
    </r>
    <r>
      <rPr>
        <sz val="10"/>
        <color rgb="FF444444"/>
        <rFont val="Arial"/>
        <family val="0"/>
        <charset val="1"/>
      </rPr>
      <t xml:space="preserve">. </t>
    </r>
    <r>
      <rPr>
        <sz val="10"/>
        <color rgb="FF444444"/>
        <rFont val="DejaVu Sans"/>
        <family val="2"/>
      </rPr>
      <t xml:space="preserve">경쟁사는 무료 </t>
    </r>
    <r>
      <rPr>
        <sz val="10"/>
        <color rgb="FF444444"/>
        <rFont val="Arial"/>
        <family val="0"/>
        <charset val="1"/>
      </rPr>
      <t xml:space="preserve">150</t>
    </r>
    <r>
      <rPr>
        <sz val="10"/>
        <color rgb="FF444444"/>
        <rFont val="DejaVu Sans"/>
        <family val="2"/>
      </rPr>
      <t xml:space="preserve">건</t>
    </r>
    <r>
      <rPr>
        <sz val="10"/>
        <color rgb="FF444444"/>
        <rFont val="Arial"/>
        <family val="0"/>
        <charset val="1"/>
      </rPr>
      <t xml:space="preserve">(SimplyDuty) </t>
    </r>
    <r>
      <rPr>
        <sz val="10"/>
        <color rgb="FF444444"/>
        <rFont val="DejaVu Sans"/>
        <family val="2"/>
      </rPr>
      <t xml:space="preserve">또는 </t>
    </r>
    <r>
      <rPr>
        <sz val="10"/>
        <color rgb="FF444444"/>
        <rFont val="Arial"/>
        <family val="0"/>
        <charset val="1"/>
      </rPr>
      <t xml:space="preserve">3</t>
    </r>
    <r>
      <rPr>
        <sz val="10"/>
        <color rgb="FF444444"/>
        <rFont val="DejaVu Sans"/>
        <family val="2"/>
      </rPr>
      <t xml:space="preserve">건</t>
    </r>
    <r>
      <rPr>
        <sz val="10"/>
        <color rgb="FF444444"/>
        <rFont val="Arial"/>
        <family val="0"/>
        <charset val="1"/>
      </rPr>
      <t xml:space="preserve">(Dutify)</t>
    </r>
  </si>
  <si>
    <t xml:space="preserve">3</t>
  </si>
  <si>
    <r>
      <rPr>
        <sz val="10"/>
        <rFont val="Arial"/>
        <family val="0"/>
        <charset val="1"/>
      </rPr>
      <t xml:space="preserve">Growth $49 = </t>
    </r>
    <r>
      <rPr>
        <sz val="10"/>
        <rFont val="DejaVu Sans"/>
        <family val="2"/>
      </rPr>
      <t xml:space="preserve">건당 </t>
    </r>
    <r>
      <rPr>
        <sz val="10"/>
        <rFont val="Arial"/>
        <family val="0"/>
        <charset val="1"/>
      </rPr>
      <t xml:space="preserve">$0.001 → </t>
    </r>
    <r>
      <rPr>
        <sz val="10"/>
        <rFont val="DejaVu Sans"/>
        <family val="2"/>
      </rPr>
      <t xml:space="preserve">경쟁사 대비 </t>
    </r>
    <r>
      <rPr>
        <sz val="10"/>
        <rFont val="Arial"/>
        <family val="0"/>
        <charset val="1"/>
      </rPr>
      <t xml:space="preserve">30-75x </t>
    </r>
    <r>
      <rPr>
        <sz val="10"/>
        <rFont val="DejaVu Sans"/>
        <family val="2"/>
      </rPr>
      <t xml:space="preserve">저렴</t>
    </r>
  </si>
  <si>
    <r>
      <rPr>
        <sz val="10"/>
        <color rgb="FF444444"/>
        <rFont val="Arial"/>
        <family val="0"/>
        <charset val="1"/>
      </rPr>
      <t xml:space="preserve">AI+DB </t>
    </r>
    <r>
      <rPr>
        <sz val="10"/>
        <color rgb="FF444444"/>
        <rFont val="DejaVu Sans"/>
        <family val="2"/>
      </rPr>
      <t xml:space="preserve">캐시 플라이휠 덕분에 원가 거의 </t>
    </r>
    <r>
      <rPr>
        <sz val="10"/>
        <color rgb="FF444444"/>
        <rFont val="Arial"/>
        <family val="0"/>
        <charset val="1"/>
      </rPr>
      <t xml:space="preserve">$0</t>
    </r>
    <r>
      <rPr>
        <sz val="10"/>
        <color rgb="FF444444"/>
        <rFont val="DejaVu Sans"/>
        <family val="2"/>
      </rPr>
      <t xml:space="preserve">에 수렴</t>
    </r>
  </si>
  <si>
    <t xml:space="preserve">4</t>
  </si>
  <si>
    <r>
      <rPr>
        <sz val="10"/>
        <rFont val="Arial"/>
        <family val="0"/>
        <charset val="1"/>
      </rPr>
      <t xml:space="preserve">Shopify App Store</t>
    </r>
    <r>
      <rPr>
        <sz val="10"/>
        <rFont val="DejaVu Sans"/>
        <family val="2"/>
      </rPr>
      <t xml:space="preserve">가 핵심 유입 채널</t>
    </r>
  </si>
  <si>
    <r>
      <rPr>
        <sz val="10"/>
        <color rgb="FF444444"/>
        <rFont val="DejaVu Sans"/>
        <family val="2"/>
      </rPr>
      <t xml:space="preserve">월 </t>
    </r>
    <r>
      <rPr>
        <sz val="10"/>
        <color rgb="FF444444"/>
        <rFont val="Arial"/>
        <family val="0"/>
        <charset val="1"/>
      </rPr>
      <t xml:space="preserve">50+ </t>
    </r>
    <r>
      <rPr>
        <sz val="10"/>
        <color rgb="FF444444"/>
        <rFont val="DejaVu Sans"/>
        <family val="2"/>
      </rPr>
      <t xml:space="preserve">설치 → </t>
    </r>
    <r>
      <rPr>
        <sz val="10"/>
        <color rgb="FF444444"/>
        <rFont val="Arial"/>
        <family val="0"/>
        <charset val="1"/>
      </rPr>
      <t xml:space="preserve">MoM 15% </t>
    </r>
    <r>
      <rPr>
        <sz val="10"/>
        <color rgb="FF444444"/>
        <rFont val="DejaVu Sans"/>
        <family val="2"/>
      </rPr>
      <t xml:space="preserve">성장 → </t>
    </r>
    <r>
      <rPr>
        <sz val="10"/>
        <color rgb="FF444444"/>
        <rFont val="Arial"/>
        <family val="0"/>
        <charset val="1"/>
      </rPr>
      <t xml:space="preserve">12</t>
    </r>
    <r>
      <rPr>
        <sz val="10"/>
        <color rgb="FF444444"/>
        <rFont val="DejaVu Sans"/>
        <family val="2"/>
      </rPr>
      <t xml:space="preserve">개월 후 </t>
    </r>
    <r>
      <rPr>
        <sz val="10"/>
        <color rgb="FF444444"/>
        <rFont val="Arial"/>
        <family val="0"/>
        <charset val="1"/>
      </rPr>
      <t xml:space="preserve">~250/</t>
    </r>
    <r>
      <rPr>
        <sz val="10"/>
        <color rgb="FF444444"/>
        <rFont val="DejaVu Sans"/>
        <family val="2"/>
      </rPr>
      <t xml:space="preserve">월 설치</t>
    </r>
  </si>
  <si>
    <t xml:space="preserve">5</t>
  </si>
  <si>
    <r>
      <rPr>
        <sz val="10"/>
        <rFont val="Arial"/>
        <family val="0"/>
        <charset val="1"/>
      </rPr>
      <t xml:space="preserve">5% Starter→Growth </t>
    </r>
    <r>
      <rPr>
        <sz val="10"/>
        <rFont val="DejaVu Sans"/>
        <family val="2"/>
      </rPr>
      <t xml:space="preserve">전환 시 연 매출 </t>
    </r>
    <r>
      <rPr>
        <sz val="10"/>
        <rFont val="Arial"/>
        <family val="0"/>
        <charset val="1"/>
      </rPr>
      <t xml:space="preserve">~$30K</t>
    </r>
  </si>
  <si>
    <r>
      <rPr>
        <sz val="10"/>
        <color rgb="FF444444"/>
        <rFont val="Arial"/>
        <family val="0"/>
        <charset val="1"/>
      </rPr>
      <t xml:space="preserve">10% </t>
    </r>
    <r>
      <rPr>
        <sz val="10"/>
        <color rgb="FF444444"/>
        <rFont val="DejaVu Sans"/>
        <family val="2"/>
      </rPr>
      <t xml:space="preserve">전환 시 </t>
    </r>
    <r>
      <rPr>
        <sz val="10"/>
        <color rgb="FF444444"/>
        <rFont val="Arial"/>
        <family val="0"/>
        <charset val="1"/>
      </rPr>
      <t xml:space="preserve">~$60K. SaaS/Platform </t>
    </r>
    <r>
      <rPr>
        <sz val="10"/>
        <color rgb="FF444444"/>
        <rFont val="DejaVu Sans"/>
        <family val="2"/>
      </rPr>
      <t xml:space="preserve">개발자 추가 시 더 높음</t>
    </r>
  </si>
  <si>
    <t xml:space="preserve">6</t>
  </si>
  <si>
    <r>
      <rPr>
        <sz val="10"/>
        <rFont val="Arial"/>
        <family val="0"/>
        <charset val="1"/>
      </rPr>
      <t xml:space="preserve">Enterprise</t>
    </r>
    <r>
      <rPr>
        <sz val="10"/>
        <rFont val="DejaVu Sans"/>
        <family val="2"/>
      </rPr>
      <t xml:space="preserve">는 장기 목표 </t>
    </r>
    <r>
      <rPr>
        <sz val="10"/>
        <rFont val="Arial"/>
        <family val="0"/>
        <charset val="1"/>
      </rPr>
      <t xml:space="preserve">(12-24</t>
    </r>
    <r>
      <rPr>
        <sz val="10"/>
        <rFont val="DejaVu Sans"/>
        <family val="2"/>
      </rPr>
      <t xml:space="preserve">개월 후</t>
    </r>
    <r>
      <rPr>
        <sz val="10"/>
        <rFont val="Arial"/>
        <family val="0"/>
        <charset val="1"/>
      </rPr>
      <t xml:space="preserve">)</t>
    </r>
  </si>
  <si>
    <r>
      <rPr>
        <sz val="10"/>
        <color rgb="FF444444"/>
        <rFont val="DejaVu Sans"/>
        <family val="2"/>
      </rPr>
      <t xml:space="preserve">현재는 </t>
    </r>
    <r>
      <rPr>
        <sz val="10"/>
        <color rgb="FF444444"/>
        <rFont val="Arial"/>
        <family val="0"/>
        <charset val="1"/>
      </rPr>
      <t xml:space="preserve">Starter+Growth </t>
    </r>
    <r>
      <rPr>
        <sz val="10"/>
        <color rgb="FF444444"/>
        <rFont val="DejaVu Sans"/>
        <family val="2"/>
      </rPr>
      <t xml:space="preserve">중심으로 </t>
    </r>
    <r>
      <rPr>
        <sz val="10"/>
        <color rgb="FF444444"/>
        <rFont val="Arial"/>
        <family val="0"/>
        <charset val="1"/>
      </rPr>
      <t xml:space="preserve">PMF </t>
    </r>
    <r>
      <rPr>
        <sz val="10"/>
        <color rgb="FF444444"/>
        <rFont val="DejaVu Sans"/>
        <family val="2"/>
      </rPr>
      <t xml:space="preserve">검증 후 확장</t>
    </r>
  </si>
  <si>
    <t xml:space="preserve">7</t>
  </si>
  <si>
    <r>
      <rPr>
        <sz val="10"/>
        <rFont val="Arial"/>
        <family val="0"/>
        <charset val="1"/>
      </rPr>
      <t xml:space="preserve">DB Cache Hit Rate</t>
    </r>
    <r>
      <rPr>
        <sz val="10"/>
        <rFont val="DejaVu Sans"/>
        <family val="2"/>
      </rPr>
      <t xml:space="preserve">가 수익성의 핵심 드라이버</t>
    </r>
  </si>
  <si>
    <r>
      <rPr>
        <sz val="10"/>
        <color rgb="FF444444"/>
        <rFont val="Arial"/>
        <family val="0"/>
        <charset val="1"/>
      </rPr>
      <t xml:space="preserve">90% </t>
    </r>
    <r>
      <rPr>
        <sz val="10"/>
        <color rgb="FF444444"/>
        <rFont val="DejaVu Sans"/>
        <family val="2"/>
      </rPr>
      <t xml:space="preserve">캐시 히트 시 </t>
    </r>
    <r>
      <rPr>
        <sz val="10"/>
        <color rgb="FF444444"/>
        <rFont val="Arial"/>
        <family val="0"/>
        <charset val="1"/>
      </rPr>
      <t xml:space="preserve">AI </t>
    </r>
    <r>
      <rPr>
        <sz val="10"/>
        <color rgb="FF444444"/>
        <rFont val="DejaVu Sans"/>
        <family val="2"/>
      </rPr>
      <t xml:space="preserve">비용 거의 </t>
    </r>
    <r>
      <rPr>
        <sz val="10"/>
        <color rgb="FF444444"/>
        <rFont val="Arial"/>
        <family val="0"/>
        <charset val="1"/>
      </rPr>
      <t xml:space="preserve">$0 → </t>
    </r>
    <r>
      <rPr>
        <sz val="10"/>
        <color rgb="FF444444"/>
        <rFont val="DejaVu Sans"/>
        <family val="2"/>
      </rPr>
      <t xml:space="preserve">매출 ≈ 순이익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</si>
</sst>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"/>
    <numFmt numFmtId="168" formatCode="\$#,##0.000"/>
    <numFmt numFmtId="169" formatCode="\$#,##0.0000"/>
    <numFmt numFmtId="170" formatCode="\$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1B2A4A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2D7A3A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E65100"/>
      <name val="Arial"/>
      <family val="0"/>
      <charset val="1"/>
    </font>
    <font>
      <b val="true"/>
      <sz val="14"/>
      <color rgb="FF6A1B9A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444444"/>
      <name val="Arial"/>
      <family val="0"/>
      <charset val="1"/>
    </font>
    <font>
      <sz val="10"/>
      <color rgb="FF444444"/>
      <name val="DejaVu Sans"/>
      <family val="2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EDF5"/>
        <bgColor rgb="FFEBF5FB"/>
      </patternFill>
    </fill>
    <fill>
      <patternFill patternType="solid">
        <fgColor rgb="FFEBF5FB"/>
        <bgColor rgb="FFE8EDF5"/>
      </patternFill>
    </fill>
    <fill>
      <patternFill patternType="solid">
        <fgColor rgb="FFE2EFDA"/>
        <bgColor rgb="FFE8EDF5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88888"/>
      <rgbColor rgb="FF9999FF"/>
      <rgbColor rgb="FF993366"/>
      <rgbColor rgb="FFFFF2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5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D7A3A"/>
      <rgbColor rgb="FF003300"/>
      <rgbColor rgb="FF444444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9" min="6" style="0" width="16"/>
    <col collapsed="false" customWidth="true" hidden="false" outlineLevel="0" max="10" min="10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2.6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5" t="s">
        <v>13</v>
      </c>
      <c r="B6" s="6" t="n">
        <v>25</v>
      </c>
      <c r="C6" s="7" t="n">
        <v>0.16</v>
      </c>
      <c r="D6" s="5" t="n">
        <v>2</v>
      </c>
      <c r="E6" s="8" t="n">
        <f aca="false">B6*C6*D6</f>
        <v>8</v>
      </c>
      <c r="F6" s="5" t="s">
        <v>14</v>
      </c>
      <c r="G6" s="9" t="n">
        <v>0</v>
      </c>
      <c r="H6" s="10" t="n">
        <f aca="false">IF(E6&gt;0, G6/E6, 0)</f>
        <v>0</v>
      </c>
      <c r="I6" s="5" t="s">
        <v>15</v>
      </c>
      <c r="J6" s="9" t="n">
        <v>15</v>
      </c>
    </row>
    <row r="7" customFormat="false" ht="15" hidden="false" customHeight="false" outlineLevel="0" collapsed="false">
      <c r="A7" s="5" t="s">
        <v>16</v>
      </c>
      <c r="B7" s="6" t="n">
        <v>75</v>
      </c>
      <c r="C7" s="7" t="n">
        <v>0.16</v>
      </c>
      <c r="D7" s="5" t="n">
        <v>2</v>
      </c>
      <c r="E7" s="8" t="n">
        <f aca="false">B7*C7*D7</f>
        <v>24</v>
      </c>
      <c r="F7" s="5" t="s">
        <v>14</v>
      </c>
      <c r="G7" s="9" t="n">
        <v>0</v>
      </c>
      <c r="H7" s="10" t="n">
        <f aca="false">IF(E7&gt;0, G7/E7, 0)</f>
        <v>0</v>
      </c>
      <c r="I7" s="5" t="s">
        <v>15</v>
      </c>
      <c r="J7" s="9" t="n">
        <v>15</v>
      </c>
    </row>
    <row r="8" customFormat="false" ht="12.65" hidden="false" customHeight="false" outlineLevel="0" collapsed="false">
      <c r="A8" s="4" t="s">
        <v>17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5" t="s">
        <v>18</v>
      </c>
      <c r="B9" s="6" t="n">
        <v>200</v>
      </c>
      <c r="C9" s="7" t="n">
        <v>0.2</v>
      </c>
      <c r="D9" s="5" t="n">
        <v>3</v>
      </c>
      <c r="E9" s="8" t="n">
        <f aca="false">B9*C9*D9</f>
        <v>120</v>
      </c>
      <c r="F9" s="5" t="s">
        <v>14</v>
      </c>
      <c r="G9" s="9" t="n">
        <v>0</v>
      </c>
      <c r="H9" s="10" t="n">
        <f aca="false">IF(E9&gt;0, G9/E9, 0)</f>
        <v>0</v>
      </c>
      <c r="I9" s="5" t="s">
        <v>19</v>
      </c>
      <c r="J9" s="9" t="n">
        <v>75</v>
      </c>
    </row>
    <row r="10" customFormat="false" ht="15" hidden="false" customHeight="false" outlineLevel="0" collapsed="false">
      <c r="A10" s="5" t="s">
        <v>20</v>
      </c>
      <c r="B10" s="6" t="n">
        <v>400</v>
      </c>
      <c r="C10" s="7" t="n">
        <v>0.25</v>
      </c>
      <c r="D10" s="5" t="n">
        <v>3</v>
      </c>
      <c r="E10" s="8" t="n">
        <f aca="false">B10*C10*D10</f>
        <v>300</v>
      </c>
      <c r="F10" s="5" t="s">
        <v>14</v>
      </c>
      <c r="G10" s="9" t="n">
        <v>0</v>
      </c>
      <c r="H10" s="10" t="n">
        <f aca="false">IF(E10&gt;0, G10/E10, 0)</f>
        <v>0</v>
      </c>
      <c r="I10" s="5" t="s">
        <v>19</v>
      </c>
      <c r="J10" s="9" t="n">
        <v>75</v>
      </c>
    </row>
    <row r="11" customFormat="false" ht="12.65" hidden="false" customHeight="false" outlineLevel="0" collapsed="false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5" t="s">
        <v>22</v>
      </c>
      <c r="B12" s="6" t="n">
        <v>750</v>
      </c>
      <c r="C12" s="7" t="n">
        <v>0.3</v>
      </c>
      <c r="D12" s="5" t="n">
        <v>3</v>
      </c>
      <c r="E12" s="8" t="n">
        <f aca="false">B12*C12*D12</f>
        <v>675</v>
      </c>
      <c r="F12" s="5" t="s">
        <v>14</v>
      </c>
      <c r="G12" s="9" t="n">
        <v>0</v>
      </c>
      <c r="H12" s="10" t="n">
        <f aca="false">IF(E12&gt;0, G12/E12, 0)</f>
        <v>0</v>
      </c>
      <c r="I12" s="5" t="s">
        <v>23</v>
      </c>
      <c r="J12" s="9" t="n">
        <v>149</v>
      </c>
    </row>
    <row r="13" customFormat="false" ht="15" hidden="false" customHeight="false" outlineLevel="0" collapsed="false">
      <c r="A13" s="5" t="s">
        <v>24</v>
      </c>
      <c r="B13" s="6" t="n">
        <v>2000</v>
      </c>
      <c r="C13" s="7" t="n">
        <v>0.3</v>
      </c>
      <c r="D13" s="5" t="n">
        <v>3</v>
      </c>
      <c r="E13" s="8" t="n">
        <f aca="false">B13*C13*D13</f>
        <v>1800</v>
      </c>
      <c r="F13" s="5" t="s">
        <v>25</v>
      </c>
      <c r="G13" s="9" t="n">
        <v>49</v>
      </c>
      <c r="H13" s="10" t="n">
        <f aca="false">IF(E13&gt;0, G13/E13, 0)</f>
        <v>0.0272222222222222</v>
      </c>
      <c r="I13" s="5" t="s">
        <v>23</v>
      </c>
      <c r="J13" s="9" t="n">
        <v>149</v>
      </c>
    </row>
    <row r="14" customFormat="false" ht="12.65" hidden="false" customHeight="false" outlineLevel="0" collapsed="false">
      <c r="A14" s="4" t="s">
        <v>26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5" t="s">
        <v>27</v>
      </c>
      <c r="B15" s="6"/>
      <c r="C15" s="7"/>
      <c r="D15" s="5"/>
      <c r="E15" s="6" t="n">
        <v>500</v>
      </c>
      <c r="F15" s="5" t="s">
        <v>14</v>
      </c>
      <c r="G15" s="9" t="n">
        <v>0</v>
      </c>
      <c r="H15" s="10" t="n">
        <f aca="false">IF(E15&gt;0, G15/E15, 0)</f>
        <v>0</v>
      </c>
      <c r="I15" s="5" t="s">
        <v>28</v>
      </c>
      <c r="J15" s="9" t="n">
        <v>65</v>
      </c>
    </row>
    <row r="16" customFormat="false" ht="15" hidden="false" customHeight="false" outlineLevel="0" collapsed="false">
      <c r="A16" s="5" t="s">
        <v>29</v>
      </c>
      <c r="B16" s="6"/>
      <c r="C16" s="7"/>
      <c r="D16" s="5"/>
      <c r="E16" s="6" t="n">
        <v>5000</v>
      </c>
      <c r="F16" s="5" t="s">
        <v>14</v>
      </c>
      <c r="G16" s="9" t="n">
        <v>0</v>
      </c>
      <c r="H16" s="10" t="n">
        <f aca="false">IF(E16&gt;0, G16/E16, 0)</f>
        <v>0</v>
      </c>
      <c r="I16" s="5" t="s">
        <v>28</v>
      </c>
      <c r="J16" s="9" t="n">
        <v>650</v>
      </c>
    </row>
    <row r="17" customFormat="false" ht="15" hidden="false" customHeight="false" outlineLevel="0" collapsed="false">
      <c r="A17" s="5" t="s">
        <v>30</v>
      </c>
      <c r="B17" s="6"/>
      <c r="C17" s="7"/>
      <c r="D17" s="5"/>
      <c r="E17" s="6" t="n">
        <v>30000</v>
      </c>
      <c r="F17" s="5" t="s">
        <v>25</v>
      </c>
      <c r="G17" s="9" t="n">
        <v>49</v>
      </c>
      <c r="H17" s="10" t="n">
        <f aca="false">IF(E17&gt;0, G17/E17, 0)</f>
        <v>0.00163333333333333</v>
      </c>
      <c r="I17" s="5" t="s">
        <v>31</v>
      </c>
      <c r="J17" s="9" t="n">
        <v>3000</v>
      </c>
    </row>
    <row r="18" customFormat="false" ht="12.65" hidden="false" customHeight="false" outlineLevel="0" collapsed="false">
      <c r="A18" s="4" t="s">
        <v>32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5" t="s">
        <v>33</v>
      </c>
      <c r="B19" s="6"/>
      <c r="C19" s="7"/>
      <c r="D19" s="5"/>
      <c r="E19" s="6" t="n">
        <v>10000</v>
      </c>
      <c r="F19" s="5" t="s">
        <v>25</v>
      </c>
      <c r="G19" s="9" t="n">
        <v>49</v>
      </c>
      <c r="H19" s="10" t="n">
        <f aca="false">IF(E19&gt;0, G19/E19, 0)</f>
        <v>0.0049</v>
      </c>
      <c r="I19" s="5" t="s">
        <v>28</v>
      </c>
      <c r="J19" s="9" t="n">
        <v>1300</v>
      </c>
    </row>
    <row r="20" customFormat="false" ht="15" hidden="false" customHeight="false" outlineLevel="0" collapsed="false">
      <c r="A20" s="5" t="s">
        <v>34</v>
      </c>
      <c r="B20" s="6"/>
      <c r="C20" s="7"/>
      <c r="D20" s="5"/>
      <c r="E20" s="6" t="n">
        <v>40000</v>
      </c>
      <c r="F20" s="5" t="s">
        <v>25</v>
      </c>
      <c r="G20" s="9" t="n">
        <v>49</v>
      </c>
      <c r="H20" s="10" t="n">
        <f aca="false">IF(E20&gt;0, G20/E20, 0)</f>
        <v>0.001225</v>
      </c>
      <c r="I20" s="5" t="s">
        <v>31</v>
      </c>
      <c r="J20" s="9" t="n">
        <v>5000</v>
      </c>
    </row>
  </sheetData>
  <mergeCells count="7">
    <mergeCell ref="A1:J1"/>
    <mergeCell ref="A2:J2"/>
    <mergeCell ref="A5:J5"/>
    <mergeCell ref="A8:J8"/>
    <mergeCell ref="A11:J11"/>
    <mergeCell ref="A14:J14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3A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  <col collapsed="false" customWidth="true" hidden="false" outlineLevel="0" max="9" min="9" style="0" width="16"/>
  </cols>
  <sheetData>
    <row r="1" customFormat="false" ht="34.5" hidden="false" customHeight="true" outlineLevel="0" collapsed="false">
      <c r="A1" s="11" t="s">
        <v>35</v>
      </c>
      <c r="B1" s="11"/>
      <c r="C1" s="11"/>
      <c r="D1" s="11"/>
      <c r="E1" s="11"/>
      <c r="F1" s="11"/>
      <c r="G1" s="11"/>
      <c r="H1" s="11"/>
      <c r="I1" s="11"/>
    </row>
    <row r="3" customFormat="false" ht="15" hidden="false" customHeight="false" outlineLevel="0" collapsed="false">
      <c r="A3" s="4" t="s">
        <v>36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12" t="s">
        <v>37</v>
      </c>
      <c r="B4" s="13" t="n">
        <v>50</v>
      </c>
      <c r="C4" s="14"/>
      <c r="D4" s="15" t="s">
        <v>38</v>
      </c>
      <c r="E4" s="15"/>
      <c r="F4" s="15"/>
      <c r="G4" s="15"/>
      <c r="H4" s="15"/>
      <c r="I4" s="15"/>
    </row>
    <row r="5" customFormat="false" ht="15" hidden="false" customHeight="false" outlineLevel="0" collapsed="false">
      <c r="A5" s="12" t="s">
        <v>39</v>
      </c>
      <c r="B5" s="16" t="n">
        <v>0.15</v>
      </c>
      <c r="C5" s="14"/>
      <c r="D5" s="15" t="s">
        <v>40</v>
      </c>
      <c r="E5" s="15"/>
      <c r="F5" s="15"/>
      <c r="G5" s="15"/>
      <c r="H5" s="15"/>
      <c r="I5" s="15"/>
    </row>
    <row r="6" customFormat="false" ht="15" hidden="false" customHeight="false" outlineLevel="0" collapsed="false">
      <c r="A6" s="12" t="s">
        <v>41</v>
      </c>
      <c r="B6" s="16" t="n">
        <v>0.05</v>
      </c>
      <c r="C6" s="14"/>
      <c r="D6" s="15" t="s">
        <v>42</v>
      </c>
      <c r="E6" s="15"/>
      <c r="F6" s="15"/>
      <c r="G6" s="15"/>
      <c r="H6" s="15"/>
      <c r="I6" s="15"/>
    </row>
    <row r="7" customFormat="false" ht="15" hidden="false" customHeight="false" outlineLevel="0" collapsed="false">
      <c r="A7" s="12" t="s">
        <v>43</v>
      </c>
      <c r="B7" s="16" t="n">
        <v>0.03</v>
      </c>
      <c r="C7" s="14"/>
      <c r="D7" s="15" t="s">
        <v>44</v>
      </c>
      <c r="E7" s="15"/>
      <c r="F7" s="15"/>
      <c r="G7" s="15"/>
      <c r="H7" s="15"/>
      <c r="I7" s="15"/>
    </row>
    <row r="8" customFormat="false" ht="15" hidden="false" customHeight="false" outlineLevel="0" collapsed="false">
      <c r="A8" s="12" t="s">
        <v>45</v>
      </c>
      <c r="B8" s="17" t="n">
        <v>200</v>
      </c>
      <c r="C8" s="14"/>
      <c r="D8" s="15" t="s">
        <v>46</v>
      </c>
      <c r="E8" s="15"/>
      <c r="F8" s="15"/>
      <c r="G8" s="15"/>
      <c r="H8" s="15"/>
      <c r="I8" s="15"/>
    </row>
    <row r="9" customFormat="false" ht="15" hidden="false" customHeight="false" outlineLevel="0" collapsed="false">
      <c r="A9" s="12" t="s">
        <v>47</v>
      </c>
      <c r="B9" s="17" t="n">
        <v>8000</v>
      </c>
      <c r="C9" s="14"/>
      <c r="D9" s="15" t="s">
        <v>46</v>
      </c>
      <c r="E9" s="15"/>
      <c r="F9" s="15"/>
      <c r="G9" s="15"/>
      <c r="H9" s="15"/>
      <c r="I9" s="15"/>
    </row>
    <row r="10" customFormat="false" ht="15" hidden="false" customHeight="false" outlineLevel="0" collapsed="false">
      <c r="A10" s="12" t="s">
        <v>48</v>
      </c>
      <c r="B10" s="18" t="n">
        <v>49</v>
      </c>
      <c r="C10" s="14"/>
      <c r="D10" s="15" t="s">
        <v>49</v>
      </c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2" t="s">
        <v>50</v>
      </c>
      <c r="B11" s="19" t="n">
        <v>0.001</v>
      </c>
      <c r="C11" s="14"/>
      <c r="D11" s="15" t="s">
        <v>51</v>
      </c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12" t="s">
        <v>52</v>
      </c>
      <c r="B12" s="16" t="n">
        <v>0.7</v>
      </c>
      <c r="C12" s="14"/>
      <c r="D12" s="15" t="s">
        <v>53</v>
      </c>
      <c r="E12" s="15"/>
      <c r="F12" s="15"/>
      <c r="G12" s="15"/>
      <c r="H12" s="15"/>
      <c r="I12" s="15"/>
    </row>
    <row r="15" customFormat="false" ht="34.5" hidden="false" customHeight="true" outlineLevel="0" collapsed="false">
      <c r="A15" s="3" t="s">
        <v>54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59</v>
      </c>
      <c r="G15" s="3" t="s">
        <v>60</v>
      </c>
      <c r="H15" s="3" t="s">
        <v>61</v>
      </c>
      <c r="I15" s="3" t="s">
        <v>62</v>
      </c>
    </row>
    <row r="16" customFormat="false" ht="15" hidden="false" customHeight="false" outlineLevel="0" collapsed="false">
      <c r="A16" s="20" t="s">
        <v>63</v>
      </c>
      <c r="B16" s="21" t="n">
        <f aca="false">$B$4</f>
        <v>50</v>
      </c>
      <c r="C16" s="21" t="n">
        <f aca="false">B16</f>
        <v>50</v>
      </c>
      <c r="D16" s="21" t="n">
        <f aca="false">ROUND(C16*$B$6, 0)</f>
        <v>3</v>
      </c>
      <c r="E16" s="21" t="n">
        <f aca="false">D16</f>
        <v>3</v>
      </c>
      <c r="F16" s="22" t="n">
        <f aca="false">E16*$B$10</f>
        <v>147</v>
      </c>
      <c r="G16" s="21" t="n">
        <f aca="false">C16*$B$8 + E16*$B$9</f>
        <v>34000</v>
      </c>
      <c r="H16" s="23" t="n">
        <f aca="false">G16*(1-$B$12)*$B$11</f>
        <v>10.2</v>
      </c>
      <c r="I16" s="24" t="n">
        <f aca="false">F16-H16</f>
        <v>136.8</v>
      </c>
    </row>
    <row r="17" customFormat="false" ht="15" hidden="false" customHeight="false" outlineLevel="0" collapsed="false">
      <c r="A17" s="20" t="s">
        <v>64</v>
      </c>
      <c r="B17" s="21" t="n">
        <f aca="false">ROUND($B$4*(1+$B$5)^(2-1), 0)</f>
        <v>58</v>
      </c>
      <c r="C17" s="21" t="n">
        <f aca="false">C16+B17-D17</f>
        <v>105</v>
      </c>
      <c r="D17" s="21" t="n">
        <f aca="false">ROUND(C16*$B$6, 0)</f>
        <v>3</v>
      </c>
      <c r="E17" s="21" t="n">
        <f aca="false">ROUND(E16*(1-$B$7)+D17, 0)</f>
        <v>6</v>
      </c>
      <c r="F17" s="22" t="n">
        <f aca="false">E17*$B$10</f>
        <v>294</v>
      </c>
      <c r="G17" s="21" t="n">
        <f aca="false">C17*$B$8 + E17*$B$9</f>
        <v>69000</v>
      </c>
      <c r="H17" s="23" t="n">
        <f aca="false">G17*(1-0.355)*$B$11</f>
        <v>44.505</v>
      </c>
      <c r="I17" s="24" t="n">
        <f aca="false">F17-H17</f>
        <v>249.495</v>
      </c>
    </row>
    <row r="18" customFormat="false" ht="15" hidden="false" customHeight="false" outlineLevel="0" collapsed="false">
      <c r="A18" s="20" t="s">
        <v>65</v>
      </c>
      <c r="B18" s="21" t="n">
        <f aca="false">ROUND($B$4*(1+$B$5)^(3-1), 0)</f>
        <v>66</v>
      </c>
      <c r="C18" s="21" t="n">
        <f aca="false">C17+B18-D18</f>
        <v>166</v>
      </c>
      <c r="D18" s="21" t="n">
        <f aca="false">ROUND(C17*$B$6, 0)</f>
        <v>5</v>
      </c>
      <c r="E18" s="21" t="n">
        <f aca="false">ROUND(E17*(1-$B$7)+D18, 0)</f>
        <v>11</v>
      </c>
      <c r="F18" s="22" t="n">
        <f aca="false">E18*$B$10</f>
        <v>539</v>
      </c>
      <c r="G18" s="21" t="n">
        <f aca="false">C18*$B$8 + E18*$B$9</f>
        <v>121200</v>
      </c>
      <c r="H18" s="23" t="n">
        <f aca="false">G18*(1-0.41)*$B$11</f>
        <v>71.508</v>
      </c>
      <c r="I18" s="24" t="n">
        <f aca="false">F18-H18</f>
        <v>467.492</v>
      </c>
    </row>
    <row r="19" customFormat="false" ht="15" hidden="false" customHeight="false" outlineLevel="0" collapsed="false">
      <c r="A19" s="20" t="s">
        <v>66</v>
      </c>
      <c r="B19" s="21" t="n">
        <f aca="false">ROUND($B$4*(1+$B$5)^(4-1), 0)</f>
        <v>76</v>
      </c>
      <c r="C19" s="21" t="n">
        <f aca="false">C18+B19-D19</f>
        <v>234</v>
      </c>
      <c r="D19" s="21" t="n">
        <f aca="false">ROUND(C18*$B$6, 0)</f>
        <v>8</v>
      </c>
      <c r="E19" s="21" t="n">
        <f aca="false">ROUND(E18*(1-$B$7)+D19, 0)</f>
        <v>19</v>
      </c>
      <c r="F19" s="22" t="n">
        <f aca="false">E19*$B$10</f>
        <v>931</v>
      </c>
      <c r="G19" s="21" t="n">
        <f aca="false">C19*$B$8 + E19*$B$9</f>
        <v>198800</v>
      </c>
      <c r="H19" s="23" t="n">
        <f aca="false">G19*(1-0.465)*$B$11</f>
        <v>106.358</v>
      </c>
      <c r="I19" s="24" t="n">
        <f aca="false">F19-H19</f>
        <v>824.642</v>
      </c>
    </row>
    <row r="20" customFormat="false" ht="15" hidden="false" customHeight="false" outlineLevel="0" collapsed="false">
      <c r="A20" s="20" t="s">
        <v>67</v>
      </c>
      <c r="B20" s="21" t="n">
        <f aca="false">ROUND($B$4*(1+$B$5)^(5-1), 0)</f>
        <v>87</v>
      </c>
      <c r="C20" s="21" t="n">
        <f aca="false">C19+B20-D20</f>
        <v>309</v>
      </c>
      <c r="D20" s="21" t="n">
        <f aca="false">ROUND(C19*$B$6, 0)</f>
        <v>12</v>
      </c>
      <c r="E20" s="21" t="n">
        <f aca="false">ROUND(E19*(1-$B$7)+D20, 0)</f>
        <v>30</v>
      </c>
      <c r="F20" s="22" t="n">
        <f aca="false">E20*$B$10</f>
        <v>1470</v>
      </c>
      <c r="G20" s="21" t="n">
        <f aca="false">C20*$B$8 + E20*$B$9</f>
        <v>301800</v>
      </c>
      <c r="H20" s="23" t="n">
        <f aca="false">G20*(1-0.52)*$B$11</f>
        <v>144.864</v>
      </c>
      <c r="I20" s="24" t="n">
        <f aca="false">F20-H20</f>
        <v>1325.136</v>
      </c>
    </row>
    <row r="21" customFormat="false" ht="15" hidden="false" customHeight="false" outlineLevel="0" collapsed="false">
      <c r="A21" s="20" t="s">
        <v>68</v>
      </c>
      <c r="B21" s="21" t="n">
        <f aca="false">ROUND($B$4*(1+$B$5)^(6-1), 0)</f>
        <v>101</v>
      </c>
      <c r="C21" s="21" t="n">
        <f aca="false">C20+B21-D21</f>
        <v>395</v>
      </c>
      <c r="D21" s="21" t="n">
        <f aca="false">ROUND(C20*$B$6, 0)</f>
        <v>15</v>
      </c>
      <c r="E21" s="21" t="n">
        <f aca="false">ROUND(E20*(1-$B$7)+D21, 0)</f>
        <v>44</v>
      </c>
      <c r="F21" s="22" t="n">
        <f aca="false">E21*$B$10</f>
        <v>2156</v>
      </c>
      <c r="G21" s="21" t="n">
        <f aca="false">C21*$B$8 + E21*$B$9</f>
        <v>431000</v>
      </c>
      <c r="H21" s="23" t="n">
        <f aca="false">G21*(1-0.575)*$B$11</f>
        <v>183.175</v>
      </c>
      <c r="I21" s="24" t="n">
        <f aca="false">F21-H21</f>
        <v>1972.825</v>
      </c>
    </row>
    <row r="22" customFormat="false" ht="15" hidden="false" customHeight="false" outlineLevel="0" collapsed="false">
      <c r="A22" s="20" t="s">
        <v>69</v>
      </c>
      <c r="B22" s="21" t="n">
        <f aca="false">ROUND($B$4*(1+$B$5)^(7-1), 0)</f>
        <v>116</v>
      </c>
      <c r="C22" s="21" t="n">
        <f aca="false">C21+B22-D22</f>
        <v>491</v>
      </c>
      <c r="D22" s="21" t="n">
        <f aca="false">ROUND(C21*$B$6, 0)</f>
        <v>20</v>
      </c>
      <c r="E22" s="21" t="n">
        <f aca="false">ROUND(E21*(1-$B$7)+D22, 0)</f>
        <v>63</v>
      </c>
      <c r="F22" s="22" t="n">
        <f aca="false">E22*$B$10</f>
        <v>3087</v>
      </c>
      <c r="G22" s="21" t="n">
        <f aca="false">C22*$B$8 + E22*$B$9</f>
        <v>602200</v>
      </c>
      <c r="H22" s="23" t="n">
        <f aca="false">G22*(1-0.63)*$B$11</f>
        <v>222.814</v>
      </c>
      <c r="I22" s="24" t="n">
        <f aca="false">F22-H22</f>
        <v>2864.186</v>
      </c>
    </row>
    <row r="23" customFormat="false" ht="15" hidden="false" customHeight="false" outlineLevel="0" collapsed="false">
      <c r="A23" s="20" t="s">
        <v>70</v>
      </c>
      <c r="B23" s="21" t="n">
        <f aca="false">ROUND($B$4*(1+$B$5)^(8-1), 0)</f>
        <v>133</v>
      </c>
      <c r="C23" s="21" t="n">
        <f aca="false">C22+B23-D23</f>
        <v>599</v>
      </c>
      <c r="D23" s="21" t="n">
        <f aca="false">ROUND(C22*$B$6, 0)</f>
        <v>25</v>
      </c>
      <c r="E23" s="21" t="n">
        <f aca="false">ROUND(E22*(1-$B$7)+D23, 0)</f>
        <v>86</v>
      </c>
      <c r="F23" s="22" t="n">
        <f aca="false">E23*$B$10</f>
        <v>4214</v>
      </c>
      <c r="G23" s="21" t="n">
        <f aca="false">C23*$B$8 + E23*$B$9</f>
        <v>807800</v>
      </c>
      <c r="H23" s="23" t="n">
        <f aca="false">G23*(1-0.685)*$B$11</f>
        <v>254.457</v>
      </c>
      <c r="I23" s="24" t="n">
        <f aca="false">F23-H23</f>
        <v>3959.543</v>
      </c>
    </row>
    <row r="24" customFormat="false" ht="15" hidden="false" customHeight="false" outlineLevel="0" collapsed="false">
      <c r="A24" s="20" t="s">
        <v>71</v>
      </c>
      <c r="B24" s="21" t="n">
        <f aca="false">ROUND($B$4*(1+$B$5)^(9-1), 0)</f>
        <v>153</v>
      </c>
      <c r="C24" s="21" t="n">
        <f aca="false">C23+B24-D24</f>
        <v>722</v>
      </c>
      <c r="D24" s="21" t="n">
        <f aca="false">ROUND(C23*$B$6, 0)</f>
        <v>30</v>
      </c>
      <c r="E24" s="21" t="n">
        <f aca="false">ROUND(E23*(1-$B$7)+D24, 0)</f>
        <v>113</v>
      </c>
      <c r="F24" s="22" t="n">
        <f aca="false">E24*$B$10</f>
        <v>5537</v>
      </c>
      <c r="G24" s="21" t="n">
        <f aca="false">C24*$B$8 + E24*$B$9</f>
        <v>1048400</v>
      </c>
      <c r="H24" s="23" t="n">
        <f aca="false">G24*(1-0.74)*$B$11</f>
        <v>272.584</v>
      </c>
      <c r="I24" s="24" t="n">
        <f aca="false">F24-H24</f>
        <v>5264.416</v>
      </c>
    </row>
    <row r="25" customFormat="false" ht="15" hidden="false" customHeight="false" outlineLevel="0" collapsed="false">
      <c r="A25" s="20" t="s">
        <v>72</v>
      </c>
      <c r="B25" s="21" t="n">
        <f aca="false">ROUND($B$4*(1+$B$5)^(10-1), 0)</f>
        <v>176</v>
      </c>
      <c r="C25" s="21" t="n">
        <f aca="false">C24+B25-D25</f>
        <v>862</v>
      </c>
      <c r="D25" s="21" t="n">
        <f aca="false">ROUND(C24*$B$6, 0)</f>
        <v>36</v>
      </c>
      <c r="E25" s="21" t="n">
        <f aca="false">ROUND(E24*(1-$B$7)+D25, 0)</f>
        <v>146</v>
      </c>
      <c r="F25" s="22" t="n">
        <f aca="false">E25*$B$10</f>
        <v>7154</v>
      </c>
      <c r="G25" s="21" t="n">
        <f aca="false">C25*$B$8 + E25*$B$9</f>
        <v>1340400</v>
      </c>
      <c r="H25" s="23" t="n">
        <f aca="false">G25*(1-0.795)*$B$11</f>
        <v>274.782</v>
      </c>
      <c r="I25" s="24" t="n">
        <f aca="false">F25-H25</f>
        <v>6879.218</v>
      </c>
    </row>
    <row r="26" customFormat="false" ht="15" hidden="false" customHeight="false" outlineLevel="0" collapsed="false">
      <c r="A26" s="20" t="s">
        <v>73</v>
      </c>
      <c r="B26" s="21" t="n">
        <f aca="false">ROUND($B$4*(1+$B$5)^(11-1), 0)</f>
        <v>202</v>
      </c>
      <c r="C26" s="21" t="n">
        <f aca="false">C25+B26-D26</f>
        <v>1021</v>
      </c>
      <c r="D26" s="21" t="n">
        <f aca="false">ROUND(C25*$B$6, 0)</f>
        <v>43</v>
      </c>
      <c r="E26" s="21" t="n">
        <f aca="false">ROUND(E25*(1-$B$7)+D26, 0)</f>
        <v>185</v>
      </c>
      <c r="F26" s="22" t="n">
        <f aca="false">E26*$B$10</f>
        <v>9065</v>
      </c>
      <c r="G26" s="21" t="n">
        <f aca="false">C26*$B$8 + E26*$B$9</f>
        <v>1684200</v>
      </c>
      <c r="H26" s="23" t="n">
        <f aca="false">G26*(1-0.85)*$B$11</f>
        <v>252.63</v>
      </c>
      <c r="I26" s="24" t="n">
        <f aca="false">F26-H26</f>
        <v>8812.37</v>
      </c>
    </row>
    <row r="27" customFormat="false" ht="15" hidden="false" customHeight="false" outlineLevel="0" collapsed="false">
      <c r="A27" s="20" t="s">
        <v>74</v>
      </c>
      <c r="B27" s="21" t="n">
        <f aca="false">ROUND($B$4*(1+$B$5)^(12-1), 0)</f>
        <v>233</v>
      </c>
      <c r="C27" s="21" t="n">
        <f aca="false">C26+B27-D27</f>
        <v>1203</v>
      </c>
      <c r="D27" s="21" t="n">
        <f aca="false">ROUND(C26*$B$6, 0)</f>
        <v>51</v>
      </c>
      <c r="E27" s="21" t="n">
        <f aca="false">ROUND(E26*(1-$B$7)+D27, 0)</f>
        <v>230</v>
      </c>
      <c r="F27" s="22" t="n">
        <f aca="false">E27*$B$10</f>
        <v>11270</v>
      </c>
      <c r="G27" s="21" t="n">
        <f aca="false">C27*$B$8 + E27*$B$9</f>
        <v>2080600</v>
      </c>
      <c r="H27" s="23" t="n">
        <f aca="false">G27*(1-0.905)*$B$11</f>
        <v>197.657</v>
      </c>
      <c r="I27" s="24" t="n">
        <f aca="false">F27-H27</f>
        <v>11072.343</v>
      </c>
    </row>
    <row r="28" customFormat="false" ht="15" hidden="false" customHeight="false" outlineLevel="0" collapsed="false">
      <c r="A28" s="25" t="s">
        <v>75</v>
      </c>
      <c r="B28" s="26" t="n">
        <f aca="false">SUM(B16:B27)</f>
        <v>1451</v>
      </c>
      <c r="C28" s="25"/>
      <c r="D28" s="26" t="n">
        <f aca="false">SUM(D16:D27)</f>
        <v>251</v>
      </c>
      <c r="E28" s="25"/>
      <c r="F28" s="27" t="n">
        <f aca="false">SUM(F16:F27)</f>
        <v>45864</v>
      </c>
      <c r="G28" s="26" t="n">
        <f aca="false">SUM(G16:G27)</f>
        <v>8719400</v>
      </c>
      <c r="H28" s="28" t="n">
        <f aca="false">SUM(H16:H27)</f>
        <v>2035.534</v>
      </c>
      <c r="I28" s="27" t="n">
        <f aca="false">SUM(I16:I27)</f>
        <v>43828.466</v>
      </c>
    </row>
  </sheetData>
  <mergeCells count="11">
    <mergeCell ref="A1:I1"/>
    <mergeCell ref="A3:I3"/>
    <mergeCell ref="D4:I4"/>
    <mergeCell ref="D5:I5"/>
    <mergeCell ref="D6:I6"/>
    <mergeCell ref="D7:I7"/>
    <mergeCell ref="D8:I8"/>
    <mergeCell ref="D9:I9"/>
    <mergeCell ref="D10:I10"/>
    <mergeCell ref="D11:I11"/>
    <mergeCell ref="D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7" min="3" style="0" width="16"/>
  </cols>
  <sheetData>
    <row r="1" customFormat="false" ht="34.5" hidden="false" customHeight="true" outlineLevel="0" collapsed="false">
      <c r="A1" s="29" t="s">
        <v>76</v>
      </c>
      <c r="B1" s="29"/>
      <c r="C1" s="29"/>
      <c r="D1" s="29"/>
      <c r="E1" s="29"/>
      <c r="F1" s="29"/>
      <c r="G1" s="29"/>
    </row>
    <row r="3" customFormat="false" ht="34.5" hidden="false" customHeight="true" outlineLevel="0" collapsed="false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</row>
    <row r="4" customFormat="false" ht="15" hidden="false" customHeight="false" outlineLevel="0" collapsed="false">
      <c r="A4" s="6" t="n">
        <v>100</v>
      </c>
      <c r="B4" s="9" t="n">
        <v>0</v>
      </c>
      <c r="C4" s="9" t="n">
        <v>15</v>
      </c>
      <c r="D4" s="9" t="n">
        <v>13</v>
      </c>
      <c r="E4" s="9" t="n">
        <v>350</v>
      </c>
      <c r="F4" s="30" t="n">
        <f aca="false">MIN(C4,D4,E4)-B4</f>
        <v>13</v>
      </c>
      <c r="G4" s="31" t="n">
        <f aca="false">IF(MIN(C4,D4,E4)&gt;0, F4/MIN(C4,D4,E4), 0)</f>
        <v>1</v>
      </c>
    </row>
    <row r="5" customFormat="false" ht="15" hidden="false" customHeight="false" outlineLevel="0" collapsed="false">
      <c r="A5" s="6" t="n">
        <v>500</v>
      </c>
      <c r="B5" s="9" t="n">
        <v>0</v>
      </c>
      <c r="C5" s="9" t="n">
        <v>15</v>
      </c>
      <c r="D5" s="9" t="n">
        <v>65</v>
      </c>
      <c r="E5" s="9" t="n">
        <v>1750</v>
      </c>
      <c r="F5" s="30" t="n">
        <f aca="false">MIN(C5,D5,E5)-B5</f>
        <v>15</v>
      </c>
      <c r="G5" s="31" t="n">
        <f aca="false">IF(MIN(C5,D5,E5)&gt;0, F5/MIN(C5,D5,E5), 0)</f>
        <v>1</v>
      </c>
    </row>
    <row r="6" customFormat="false" ht="15" hidden="false" customHeight="false" outlineLevel="0" collapsed="false">
      <c r="A6" s="6" t="n">
        <v>1000</v>
      </c>
      <c r="B6" s="9" t="n">
        <v>0</v>
      </c>
      <c r="C6" s="9" t="n">
        <v>75</v>
      </c>
      <c r="D6" s="9" t="n">
        <v>130</v>
      </c>
      <c r="E6" s="9" t="n">
        <v>3500</v>
      </c>
      <c r="F6" s="30" t="n">
        <f aca="false">MIN(C6,D6,E6)-B6</f>
        <v>75</v>
      </c>
      <c r="G6" s="31" t="n">
        <f aca="false">IF(MIN(C6,D6,E6)&gt;0, F6/MIN(C6,D6,E6), 0)</f>
        <v>1</v>
      </c>
    </row>
    <row r="7" customFormat="false" ht="15" hidden="false" customHeight="false" outlineLevel="0" collapsed="false">
      <c r="A7" s="6" t="n">
        <v>2000</v>
      </c>
      <c r="B7" s="9" t="n">
        <v>0</v>
      </c>
      <c r="C7" s="9" t="n">
        <v>75</v>
      </c>
      <c r="D7" s="9" t="n">
        <v>260</v>
      </c>
      <c r="E7" s="9" t="n">
        <v>7000</v>
      </c>
      <c r="F7" s="30" t="n">
        <f aca="false">MIN(C7,D7,E7)-B7</f>
        <v>75</v>
      </c>
      <c r="G7" s="31" t="n">
        <f aca="false">IF(MIN(C7,D7,E7)&gt;0, F7/MIN(C7,D7,E7), 0)</f>
        <v>1</v>
      </c>
    </row>
    <row r="8" customFormat="false" ht="15" hidden="false" customHeight="false" outlineLevel="0" collapsed="false">
      <c r="A8" s="6" t="n">
        <v>5000</v>
      </c>
      <c r="B8" s="9" t="n">
        <v>0</v>
      </c>
      <c r="C8" s="9" t="n">
        <v>149</v>
      </c>
      <c r="D8" s="9" t="n">
        <v>650</v>
      </c>
      <c r="E8" s="9" t="n">
        <v>17500</v>
      </c>
      <c r="F8" s="30" t="n">
        <f aca="false">MIN(C8,D8,E8)-B8</f>
        <v>149</v>
      </c>
      <c r="G8" s="31" t="n">
        <f aca="false">IF(MIN(C8,D8,E8)&gt;0, F8/MIN(C8,D8,E8), 0)</f>
        <v>1</v>
      </c>
    </row>
    <row r="9" customFormat="false" ht="15" hidden="false" customHeight="false" outlineLevel="0" collapsed="false">
      <c r="A9" s="6" t="n">
        <v>10000</v>
      </c>
      <c r="B9" s="9" t="n">
        <v>49</v>
      </c>
      <c r="C9" s="9" t="n">
        <v>300</v>
      </c>
      <c r="D9" s="9" t="n">
        <v>1300</v>
      </c>
      <c r="E9" s="9" t="n">
        <v>35000</v>
      </c>
      <c r="F9" s="30" t="n">
        <f aca="false">MIN(C9,D9,E9)-B9</f>
        <v>251</v>
      </c>
      <c r="G9" s="31" t="n">
        <f aca="false">IF(MIN(C9,D9,E9)&gt;0, F9/MIN(C9,D9,E9), 0)</f>
        <v>0.836666666666667</v>
      </c>
    </row>
    <row r="10" customFormat="false" ht="15" hidden="false" customHeight="false" outlineLevel="0" collapsed="false">
      <c r="A10" s="6" t="n">
        <v>25000</v>
      </c>
      <c r="B10" s="9" t="n">
        <v>49</v>
      </c>
      <c r="C10" s="9" t="n">
        <v>600</v>
      </c>
      <c r="D10" s="9" t="n">
        <v>3250</v>
      </c>
      <c r="E10" s="9" t="n">
        <v>87500</v>
      </c>
      <c r="F10" s="30" t="n">
        <f aca="false">MIN(C10,D10,E10)-B10</f>
        <v>551</v>
      </c>
      <c r="G10" s="31" t="n">
        <f aca="false">IF(MIN(C10,D10,E10)&gt;0, F10/MIN(C10,D10,E10), 0)</f>
        <v>0.918333333333333</v>
      </c>
    </row>
    <row r="11" customFormat="false" ht="15" hidden="false" customHeight="false" outlineLevel="0" collapsed="false">
      <c r="A11" s="6" t="n">
        <v>50000</v>
      </c>
      <c r="B11" s="9" t="n">
        <v>49</v>
      </c>
      <c r="C11" s="9" t="n">
        <v>1200</v>
      </c>
      <c r="D11" s="9" t="n">
        <v>6500</v>
      </c>
      <c r="E11" s="9" t="n">
        <v>175000</v>
      </c>
      <c r="F11" s="30" t="n">
        <f aca="false">MIN(C11,D11,E11)-B11</f>
        <v>1151</v>
      </c>
      <c r="G11" s="31" t="n">
        <f aca="false">IF(MIN(C11,D11,E11)&gt;0, F11/MIN(C11,D11,E11), 0)</f>
        <v>0.959166666666667</v>
      </c>
    </row>
    <row r="13" customFormat="false" ht="15" hidden="false" customHeight="false" outlineLevel="0" collapsed="false">
      <c r="A13" s="32" t="s">
        <v>84</v>
      </c>
      <c r="B13" s="32"/>
      <c r="C13" s="32"/>
      <c r="D13" s="32"/>
      <c r="E13" s="32"/>
      <c r="F13" s="32"/>
      <c r="G13" s="32"/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34.5" hidden="false" customHeight="true" outlineLevel="0" collapsed="false">
      <c r="A1" s="33" t="s">
        <v>85</v>
      </c>
      <c r="B1" s="33"/>
      <c r="C1" s="33"/>
    </row>
    <row r="3" customFormat="false" ht="15" hidden="false" customHeight="false" outlineLevel="0" collapsed="false">
      <c r="A3" s="3" t="s">
        <v>86</v>
      </c>
      <c r="B3" s="3" t="s">
        <v>87</v>
      </c>
      <c r="C3" s="3" t="s">
        <v>88</v>
      </c>
    </row>
    <row r="4" customFormat="false" ht="27.75" hidden="false" customHeight="true" outlineLevel="0" collapsed="false">
      <c r="A4" s="34" t="s">
        <v>89</v>
      </c>
      <c r="B4" s="12" t="s">
        <v>90</v>
      </c>
      <c r="C4" s="35" t="s">
        <v>91</v>
      </c>
    </row>
    <row r="5" customFormat="false" ht="27.75" hidden="false" customHeight="true" outlineLevel="0" collapsed="false">
      <c r="A5" s="34" t="s">
        <v>92</v>
      </c>
      <c r="B5" s="12" t="s">
        <v>93</v>
      </c>
      <c r="C5" s="36" t="s">
        <v>94</v>
      </c>
    </row>
    <row r="6" customFormat="false" ht="27.75" hidden="false" customHeight="true" outlineLevel="0" collapsed="false">
      <c r="A6" s="34" t="s">
        <v>95</v>
      </c>
      <c r="B6" s="12" t="s">
        <v>96</v>
      </c>
      <c r="C6" s="35" t="s">
        <v>97</v>
      </c>
    </row>
    <row r="7" customFormat="false" ht="27.75" hidden="false" customHeight="true" outlineLevel="0" collapsed="false">
      <c r="A7" s="34" t="s">
        <v>98</v>
      </c>
      <c r="B7" s="12" t="s">
        <v>99</v>
      </c>
      <c r="C7" s="36" t="s">
        <v>100</v>
      </c>
    </row>
    <row r="8" customFormat="false" ht="27.75" hidden="false" customHeight="true" outlineLevel="0" collapsed="false">
      <c r="A8" s="34" t="s">
        <v>101</v>
      </c>
      <c r="B8" s="12" t="s">
        <v>102</v>
      </c>
      <c r="C8" s="35" t="s">
        <v>103</v>
      </c>
    </row>
    <row r="9" customFormat="false" ht="27.75" hidden="false" customHeight="true" outlineLevel="0" collapsed="false">
      <c r="A9" s="34" t="s">
        <v>104</v>
      </c>
      <c r="B9" s="12" t="s">
        <v>105</v>
      </c>
      <c r="C9" s="36" t="s">
        <v>106</v>
      </c>
    </row>
    <row r="10" customFormat="false" ht="27.75" hidden="false" customHeight="true" outlineLevel="0" collapsed="false">
      <c r="A10" s="34" t="s">
        <v>107</v>
      </c>
      <c r="B10" s="12" t="s">
        <v>108</v>
      </c>
      <c r="C10" s="35" t="s">
        <v>109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2026-03-05T07:56:59Z</dcterms:created>
  <dc:creator>openpyxl</dc:creator>
  <dc:description/>
  <dc:language>en-US</dc:language>
  <cp:lastModifiedBy/>
  <dcterms:modified xsi:type="dcterms:W3CDTF">2026-03-05T07:56:59Z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