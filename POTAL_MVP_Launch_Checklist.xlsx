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Checklist" sheetId="1" state="visible" r:id="rId3"/>
    <sheet name="Already Done" sheetId="2" state="visible" r:id="rId4"/>
    <sheet name="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<sst xmlns="http://schemas.openxmlformats.org/spreadsheetml/2006/main" count="473" uniqueCount="239">
  <si>
    <t xml:space="preserve">POTAL MVP Launch Checklist</t>
  </si>
  <si>
    <r>
      <rPr>
        <sz val="10"/>
        <color rgb="FF475569"/>
        <rFont val="Arial"/>
        <family val="0"/>
        <charset val="1"/>
      </rPr>
      <t xml:space="preserve">B2B Total Landed Cost Infrastructure Platform — 2026-03-10 </t>
    </r>
    <r>
      <rPr>
        <sz val="10"/>
        <color rgb="FF475569"/>
        <rFont val="DejaVu Sans"/>
        <family val="2"/>
      </rPr>
      <t xml:space="preserve">기준</t>
    </r>
  </si>
  <si>
    <t xml:space="preserve">#</t>
  </si>
  <si>
    <t xml:space="preserve">Phase</t>
  </si>
  <si>
    <t xml:space="preserve">Task</t>
  </si>
  <si>
    <t xml:space="preserve">Status</t>
  </si>
  <si>
    <t xml:space="preserve">Priority</t>
  </si>
  <si>
    <t xml:space="preserve">Owner</t>
  </si>
  <si>
    <t xml:space="preserve">Notes</t>
  </si>
  <si>
    <r>
      <rPr>
        <b val="true"/>
        <sz val="11"/>
        <color rgb="FF1E40AF"/>
        <rFont val="Arial"/>
        <family val="0"/>
        <charset val="1"/>
      </rPr>
      <t xml:space="preserve">Phase 1: </t>
    </r>
    <r>
      <rPr>
        <b val="true"/>
        <sz val="11"/>
        <color rgb="FF1E40AF"/>
        <rFont val="DejaVu Sans"/>
        <family val="2"/>
      </rPr>
      <t xml:space="preserve">데이터 완성</t>
    </r>
  </si>
  <si>
    <t xml:space="preserve">데이터</t>
  </si>
  <si>
    <r>
      <rPr>
        <sz val="9"/>
        <color rgb="FF1E293B"/>
        <rFont val="Arial"/>
        <family val="0"/>
        <charset val="1"/>
      </rPr>
      <t xml:space="preserve">MIN </t>
    </r>
    <r>
      <rPr>
        <sz val="9"/>
        <color rgb="FF1E293B"/>
        <rFont val="DejaVu Sans"/>
        <family val="2"/>
      </rPr>
      <t xml:space="preserve">벌크 임포트 완료 </t>
    </r>
    <r>
      <rPr>
        <sz val="9"/>
        <color rgb="FF1E293B"/>
        <rFont val="Arial"/>
        <family val="0"/>
        <charset val="1"/>
      </rPr>
      <t xml:space="preserve">(9</t>
    </r>
    <r>
      <rPr>
        <sz val="9"/>
        <color rgb="FF1E293B"/>
        <rFont val="DejaVu Sans"/>
        <family val="2"/>
      </rPr>
      <t xml:space="preserve">개국</t>
    </r>
    <r>
      <rPr>
        <sz val="9"/>
        <color rgb="FF1E293B"/>
        <rFont val="Arial"/>
        <family val="0"/>
        <charset val="1"/>
      </rPr>
      <t xml:space="preserve">: SGP~VNM, ~26.8M</t>
    </r>
    <r>
      <rPr>
        <sz val="9"/>
        <color rgb="FF1E293B"/>
        <rFont val="DejaVu Sans"/>
        <family val="2"/>
      </rPr>
      <t xml:space="preserve">행</t>
    </r>
    <r>
      <rPr>
        <sz val="9"/>
        <color rgb="FF1E293B"/>
        <rFont val="Arial"/>
        <family val="0"/>
        <charset val="1"/>
      </rPr>
      <t xml:space="preserve">)</t>
    </r>
  </si>
  <si>
    <t xml:space="preserve">진행중</t>
  </si>
  <si>
    <t xml:space="preserve">Critical</t>
  </si>
  <si>
    <t xml:space="preserve">Mac</t>
  </si>
  <si>
    <r>
      <rPr>
        <i val="true"/>
        <sz val="9"/>
        <color rgb="FF475569"/>
        <rFont val="Arial"/>
        <family val="0"/>
        <charset val="1"/>
      </rPr>
      <t xml:space="preserve">import_min_remaining.py + run_min_loop.sh </t>
    </r>
    <r>
      <rPr>
        <i val="true"/>
        <sz val="9"/>
        <color rgb="FF475569"/>
        <rFont val="DejaVu Sans"/>
        <family val="2"/>
      </rPr>
      <t xml:space="preserve">실행중</t>
    </r>
  </si>
  <si>
    <r>
      <rPr>
        <sz val="9"/>
        <color rgb="FF1E293B"/>
        <rFont val="Arial"/>
        <family val="0"/>
        <charset val="1"/>
      </rPr>
      <t xml:space="preserve">MIN </t>
    </r>
    <r>
      <rPr>
        <sz val="9"/>
        <color rgb="FF1E293B"/>
        <rFont val="DejaVu Sans"/>
        <family val="2"/>
      </rPr>
      <t xml:space="preserve">임포트 결과 검증 </t>
    </r>
    <r>
      <rPr>
        <sz val="9"/>
        <color rgb="FF1E293B"/>
        <rFont val="Arial"/>
        <family val="0"/>
        <charset val="1"/>
      </rPr>
      <t xml:space="preserve">(53</t>
    </r>
    <r>
      <rPr>
        <sz val="9"/>
        <color rgb="FF1E293B"/>
        <rFont val="DejaVu Sans"/>
        <family val="2"/>
      </rPr>
      <t xml:space="preserve">개국 전체 </t>
    </r>
    <r>
      <rPr>
        <sz val="9"/>
        <color rgb="FF1E293B"/>
        <rFont val="Arial"/>
        <family val="0"/>
        <charset val="1"/>
      </rPr>
      <t xml:space="preserve">row count </t>
    </r>
    <r>
      <rPr>
        <sz val="9"/>
        <color rgb="FF1E293B"/>
        <rFont val="DejaVu Sans"/>
        <family val="2"/>
      </rPr>
      <t xml:space="preserve">확인</t>
    </r>
    <r>
      <rPr>
        <sz val="9"/>
        <color rgb="FF1E293B"/>
        <rFont val="Arial"/>
        <family val="0"/>
        <charset val="1"/>
      </rPr>
      <t xml:space="preserve">)</t>
    </r>
  </si>
  <si>
    <t xml:space="preserve">대기</t>
  </si>
  <si>
    <t xml:space="preserve">Claude</t>
  </si>
  <si>
    <t xml:space="preserve">SELECT reporter, count(*) FROM macmap_min_rates GROUP BY 1</t>
  </si>
  <si>
    <r>
      <rPr>
        <sz val="9"/>
        <color rgb="FF1E293B"/>
        <rFont val="Arial"/>
        <family val="0"/>
        <charset val="1"/>
      </rPr>
      <t xml:space="preserve">AGR </t>
    </r>
    <r>
      <rPr>
        <sz val="9"/>
        <color rgb="FF1E293B"/>
        <rFont val="DejaVu Sans"/>
        <family val="2"/>
      </rPr>
      <t xml:space="preserve">벌크 임포트 </t>
    </r>
    <r>
      <rPr>
        <sz val="9"/>
        <color rgb="FF1E293B"/>
        <rFont val="Arial"/>
        <family val="0"/>
        <charset val="1"/>
      </rPr>
      <t xml:space="preserve">(148M</t>
    </r>
    <r>
      <rPr>
        <sz val="9"/>
        <color rgb="FF1E293B"/>
        <rFont val="DejaVu Sans"/>
        <family val="2"/>
      </rPr>
      <t xml:space="preserve">행</t>
    </r>
    <r>
      <rPr>
        <sz val="9"/>
        <color rgb="FF1E293B"/>
        <rFont val="Arial"/>
        <family val="0"/>
        <charset val="1"/>
      </rPr>
      <t xml:space="preserve">, 53</t>
    </r>
    <r>
      <rPr>
        <sz val="9"/>
        <color rgb="FF1E293B"/>
        <rFont val="DejaVu Sans"/>
        <family val="2"/>
      </rPr>
      <t xml:space="preserve">개국</t>
    </r>
    <r>
      <rPr>
        <sz val="9"/>
        <color rgb="FF1E293B"/>
        <rFont val="Arial"/>
        <family val="0"/>
        <charset val="1"/>
      </rPr>
      <t xml:space="preserve">)</t>
    </r>
  </si>
  <si>
    <t xml:space="preserve">High</t>
  </si>
  <si>
    <r>
      <rPr>
        <i val="true"/>
        <sz val="9"/>
        <color rgb="FF475569"/>
        <rFont val="Arial"/>
        <family val="0"/>
        <charset val="1"/>
      </rPr>
      <t xml:space="preserve">MIN </t>
    </r>
    <r>
      <rPr>
        <i val="true"/>
        <sz val="9"/>
        <color rgb="FF475569"/>
        <rFont val="DejaVu Sans"/>
        <family val="2"/>
      </rPr>
      <t xml:space="preserve">완료 후 시작</t>
    </r>
    <r>
      <rPr>
        <i val="true"/>
        <sz val="9"/>
        <color rgb="FF475569"/>
        <rFont val="Arial"/>
        <family val="0"/>
        <charset val="1"/>
      </rPr>
      <t xml:space="preserve">. </t>
    </r>
    <r>
      <rPr>
        <i val="true"/>
        <sz val="9"/>
        <color rgb="FF475569"/>
        <rFont val="DejaVu Sans"/>
        <family val="2"/>
      </rPr>
      <t xml:space="preserve">같은 스크립트 방식</t>
    </r>
  </si>
  <si>
    <r>
      <rPr>
        <sz val="9"/>
        <color rgb="FF1E293B"/>
        <rFont val="Arial"/>
        <family val="0"/>
        <charset val="1"/>
      </rPr>
      <t xml:space="preserve">AGR </t>
    </r>
    <r>
      <rPr>
        <sz val="9"/>
        <color rgb="FF1E293B"/>
        <rFont val="DejaVu Sans"/>
        <family val="2"/>
      </rPr>
      <t xml:space="preserve">임포트 결과 검증</t>
    </r>
  </si>
  <si>
    <r>
      <rPr>
        <i val="true"/>
        <sz val="9"/>
        <color rgb="FF475569"/>
        <rFont val="Arial"/>
        <family val="0"/>
        <charset val="1"/>
      </rPr>
      <t xml:space="preserve">macmap_agr_rates </t>
    </r>
    <r>
      <rPr>
        <i val="true"/>
        <sz val="9"/>
        <color rgb="FF475569"/>
        <rFont val="DejaVu Sans"/>
        <family val="2"/>
      </rPr>
      <t xml:space="preserve">테이블 검증</t>
    </r>
  </si>
  <si>
    <r>
      <rPr>
        <sz val="9"/>
        <color rgb="FF1E293B"/>
        <rFont val="Arial"/>
        <family val="0"/>
        <charset val="1"/>
      </rPr>
      <t xml:space="preserve">WDC </t>
    </r>
    <r>
      <rPr>
        <sz val="9"/>
        <color rgb="FF1E293B"/>
        <rFont val="DejaVu Sans"/>
        <family val="2"/>
      </rPr>
      <t xml:space="preserve">다운로드 완료 확인 </t>
    </r>
    <r>
      <rPr>
        <sz val="9"/>
        <color rgb="FF1E293B"/>
        <rFont val="Arial"/>
        <family val="0"/>
        <charset val="1"/>
      </rPr>
      <t xml:space="preserve">(1,899</t>
    </r>
    <r>
      <rPr>
        <sz val="9"/>
        <color rgb="FF1E293B"/>
        <rFont val="DejaVu Sans"/>
        <family val="2"/>
      </rPr>
      <t xml:space="preserve">파일 </t>
    </r>
    <r>
      <rPr>
        <sz val="9"/>
        <color rgb="FF1E293B"/>
        <rFont val="Arial"/>
        <family val="0"/>
        <charset val="1"/>
      </rPr>
      <t xml:space="preserve">350GB)</t>
    </r>
  </si>
  <si>
    <t xml:space="preserve">Medium</t>
  </si>
  <si>
    <r>
      <rPr>
        <i val="true"/>
        <sz val="9"/>
        <color rgb="FF475569"/>
        <rFont val="DejaVu Sans"/>
        <family val="2"/>
      </rPr>
      <t xml:space="preserve">현재 </t>
    </r>
    <r>
      <rPr>
        <i val="true"/>
        <sz val="9"/>
        <color rgb="FF475569"/>
        <rFont val="Arial"/>
        <family val="0"/>
        <charset val="1"/>
      </rPr>
      <t xml:space="preserve">~93.6% (1,778/1,899)</t>
    </r>
  </si>
  <si>
    <r>
      <rPr>
        <b val="true"/>
        <sz val="11"/>
        <color rgb="FF166534"/>
        <rFont val="Arial"/>
        <family val="0"/>
        <charset val="1"/>
      </rPr>
      <t xml:space="preserve">Phase 2: </t>
    </r>
    <r>
      <rPr>
        <b val="true"/>
        <sz val="11"/>
        <color rgb="FF166534"/>
        <rFont val="DejaVu Sans"/>
        <family val="2"/>
      </rPr>
      <t xml:space="preserve">핵심 </t>
    </r>
    <r>
      <rPr>
        <b val="true"/>
        <sz val="11"/>
        <color rgb="FF166534"/>
        <rFont val="Arial"/>
        <family val="0"/>
        <charset val="1"/>
      </rPr>
      <t xml:space="preserve">API </t>
    </r>
    <r>
      <rPr>
        <b val="true"/>
        <sz val="11"/>
        <color rgb="FF166534"/>
        <rFont val="DejaVu Sans"/>
        <family val="2"/>
      </rPr>
      <t xml:space="preserve">검증</t>
    </r>
  </si>
  <si>
    <t xml:space="preserve">API</t>
  </si>
  <si>
    <r>
      <rPr>
        <sz val="9"/>
        <color rgb="FF1E293B"/>
        <rFont val="Arial"/>
        <family val="0"/>
        <charset val="1"/>
      </rPr>
      <t xml:space="preserve">lookup_duty_rate_v2() 4</t>
    </r>
    <r>
      <rPr>
        <sz val="9"/>
        <color rgb="FF1E293B"/>
        <rFont val="DejaVu Sans"/>
        <family val="2"/>
      </rPr>
      <t xml:space="preserve">단계 폴백 통합 테스트</t>
    </r>
  </si>
  <si>
    <r>
      <rPr>
        <i val="true"/>
        <sz val="9"/>
        <color rgb="FF475569"/>
        <rFont val="Arial"/>
        <family val="0"/>
        <charset val="1"/>
      </rPr>
      <t xml:space="preserve">MIN→AGR→NTLC→</t>
    </r>
    <r>
      <rPr>
        <i val="true"/>
        <sz val="9"/>
        <color rgb="FF475569"/>
        <rFont val="DejaVu Sans"/>
        <family val="2"/>
      </rPr>
      <t xml:space="preserve">정부</t>
    </r>
    <r>
      <rPr>
        <i val="true"/>
        <sz val="9"/>
        <color rgb="FF475569"/>
        <rFont val="Arial"/>
        <family val="0"/>
        <charset val="1"/>
      </rPr>
      <t xml:space="preserve">API </t>
    </r>
    <r>
      <rPr>
        <i val="true"/>
        <sz val="9"/>
        <color rgb="FF475569"/>
        <rFont val="DejaVu Sans"/>
        <family val="2"/>
      </rPr>
      <t xml:space="preserve">순서 검증</t>
    </r>
  </si>
  <si>
    <r>
      <rPr>
        <sz val="9"/>
        <color rgb="FF1E293B"/>
        <rFont val="DejaVu Sans"/>
        <family val="2"/>
      </rPr>
      <t xml:space="preserve">반덤핑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상계관세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세이프가드 </t>
    </r>
    <r>
      <rPr>
        <sz val="9"/>
        <color rgb="FF1E293B"/>
        <rFont val="Arial"/>
        <family val="0"/>
        <charset val="1"/>
      </rPr>
      <t xml:space="preserve">5</t>
    </r>
    <r>
      <rPr>
        <sz val="9"/>
        <color rgb="FF1E293B"/>
        <rFont val="DejaVu Sans"/>
        <family val="2"/>
      </rPr>
      <t xml:space="preserve">단계 폴백 추가</t>
    </r>
  </si>
  <si>
    <r>
      <rPr>
        <i val="true"/>
        <sz val="9"/>
        <color rgb="FF475569"/>
        <rFont val="Arial"/>
        <family val="0"/>
        <charset val="1"/>
      </rPr>
      <t xml:space="preserve">trade_remedy </t>
    </r>
    <r>
      <rPr>
        <i val="true"/>
        <sz val="9"/>
        <color rgb="FF475569"/>
        <rFont val="DejaVu Sans"/>
        <family val="2"/>
      </rPr>
      <t xml:space="preserve">테이블 연동</t>
    </r>
  </si>
  <si>
    <r>
      <rPr>
        <sz val="9"/>
        <color rgb="FF1E293B"/>
        <rFont val="DejaVu Sans"/>
        <family val="2"/>
      </rPr>
      <t xml:space="preserve">관세율 자동업데이트 </t>
    </r>
    <r>
      <rPr>
        <sz val="9"/>
        <color rgb="FF1E293B"/>
        <rFont val="Arial"/>
        <family val="0"/>
        <charset val="1"/>
      </rPr>
      <t xml:space="preserve">Cron </t>
    </r>
    <r>
      <rPr>
        <sz val="9"/>
        <color rgb="FF1E293B"/>
        <rFont val="DejaVu Sans"/>
        <family val="2"/>
      </rPr>
      <t xml:space="preserve">동작 확인</t>
    </r>
  </si>
  <si>
    <r>
      <rPr>
        <i val="true"/>
        <sz val="9"/>
        <color rgb="FF475569"/>
        <rFont val="Arial"/>
        <family val="0"/>
        <charset val="1"/>
      </rPr>
      <t xml:space="preserve">Vercel Cron </t>
    </r>
    <r>
      <rPr>
        <i val="true"/>
        <sz val="9"/>
        <color rgb="FF475569"/>
        <rFont val="DejaVu Sans"/>
        <family val="2"/>
      </rPr>
      <t xml:space="preserve">매주 월 </t>
    </r>
    <r>
      <rPr>
        <i val="true"/>
        <sz val="9"/>
        <color rgb="FF475569"/>
        <rFont val="Arial"/>
        <family val="0"/>
        <charset val="1"/>
      </rPr>
      <t xml:space="preserve">06:00 UTC</t>
    </r>
  </si>
  <si>
    <r>
      <rPr>
        <sz val="9"/>
        <color rgb="FF1E293B"/>
        <rFont val="Arial"/>
        <family val="0"/>
        <charset val="1"/>
      </rPr>
      <t xml:space="preserve">/api/v1/calculate E2E </t>
    </r>
    <r>
      <rPr>
        <sz val="9"/>
        <color rgb="FF1E293B"/>
        <rFont val="DejaVu Sans"/>
        <family val="2"/>
      </rPr>
      <t xml:space="preserve">테스트 </t>
    </r>
    <r>
      <rPr>
        <sz val="9"/>
        <color rgb="FF1E293B"/>
        <rFont val="Arial"/>
        <family val="0"/>
        <charset val="1"/>
      </rPr>
      <t xml:space="preserve">(10</t>
    </r>
    <r>
      <rPr>
        <sz val="9"/>
        <color rgb="FF1E293B"/>
        <rFont val="DejaVu Sans"/>
        <family val="2"/>
      </rPr>
      <t xml:space="preserve">개 시나리오</t>
    </r>
    <r>
      <rPr>
        <sz val="9"/>
        <color rgb="FF1E293B"/>
        <rFont val="Arial"/>
        <family val="0"/>
        <charset val="1"/>
      </rPr>
      <t xml:space="preserve">)</t>
    </r>
  </si>
  <si>
    <r>
      <rPr>
        <i val="true"/>
        <sz val="9"/>
        <color rgb="FF475569"/>
        <rFont val="Arial"/>
        <family val="0"/>
        <charset val="1"/>
      </rPr>
      <t xml:space="preserve">US/EU/JP/KR/CN </t>
    </r>
    <r>
      <rPr>
        <i val="true"/>
        <sz val="9"/>
        <color rgb="FF475569"/>
        <rFont val="DejaVu Sans"/>
        <family val="2"/>
      </rPr>
      <t xml:space="preserve">등 주요 무역국</t>
    </r>
  </si>
  <si>
    <r>
      <rPr>
        <sz val="9"/>
        <color rgb="FF1E293B"/>
        <rFont val="Arial"/>
        <family val="0"/>
        <charset val="1"/>
      </rPr>
      <t xml:space="preserve">/api/v1/calculate/batch </t>
    </r>
    <r>
      <rPr>
        <sz val="9"/>
        <color rgb="FF1E293B"/>
        <rFont val="DejaVu Sans"/>
        <family val="2"/>
      </rPr>
      <t xml:space="preserve">배치 테스트</t>
    </r>
  </si>
  <si>
    <r>
      <rPr>
        <i val="true"/>
        <sz val="9"/>
        <color rgb="FF475569"/>
        <rFont val="Arial"/>
        <family val="0"/>
        <charset val="1"/>
      </rPr>
      <t xml:space="preserve">100</t>
    </r>
    <r>
      <rPr>
        <i val="true"/>
        <sz val="9"/>
        <color rgb="FF475569"/>
        <rFont val="DejaVu Sans"/>
        <family val="2"/>
      </rPr>
      <t xml:space="preserve">건 동시 요청 정상 응답 확인</t>
    </r>
  </si>
  <si>
    <r>
      <rPr>
        <sz val="9"/>
        <color rgb="FF1E293B"/>
        <rFont val="Arial"/>
        <family val="0"/>
        <charset val="1"/>
      </rPr>
      <t xml:space="preserve">/api/v1/countries 240</t>
    </r>
    <r>
      <rPr>
        <sz val="9"/>
        <color rgb="FF1E293B"/>
        <rFont val="DejaVu Sans"/>
        <family val="2"/>
      </rPr>
      <t xml:space="preserve">개국 정상 반환 확인</t>
    </r>
  </si>
  <si>
    <r>
      <rPr>
        <i val="true"/>
        <sz val="9"/>
        <color rgb="FF475569"/>
        <rFont val="DejaVu Sans"/>
        <family val="2"/>
      </rPr>
      <t xml:space="preserve">다국어 </t>
    </r>
    <r>
      <rPr>
        <i val="true"/>
        <sz val="9"/>
        <color rgb="FF475569"/>
        <rFont val="Arial"/>
        <family val="0"/>
        <charset val="1"/>
      </rPr>
      <t xml:space="preserve">?lang= </t>
    </r>
    <r>
      <rPr>
        <i val="true"/>
        <sz val="9"/>
        <color rgb="FF475569"/>
        <rFont val="DejaVu Sans"/>
        <family val="2"/>
      </rPr>
      <t xml:space="preserve">파라미터 포함</t>
    </r>
  </si>
  <si>
    <r>
      <rPr>
        <sz val="9"/>
        <color rgb="FF1E293B"/>
        <rFont val="Arial"/>
        <family val="0"/>
        <charset val="1"/>
      </rPr>
      <t xml:space="preserve">Rate Limiting </t>
    </r>
    <r>
      <rPr>
        <sz val="9"/>
        <color rgb="FF1E293B"/>
        <rFont val="DejaVu Sans"/>
        <family val="2"/>
      </rPr>
      <t xml:space="preserve">동작 확인 </t>
    </r>
    <r>
      <rPr>
        <sz val="9"/>
        <color rgb="FF1E293B"/>
        <rFont val="Arial"/>
        <family val="0"/>
        <charset val="1"/>
      </rPr>
      <t xml:space="preserve">(Free 100</t>
    </r>
    <r>
      <rPr>
        <sz val="9"/>
        <color rgb="FF1E293B"/>
        <rFont val="DejaVu Sans"/>
        <family val="2"/>
      </rPr>
      <t xml:space="preserve">건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월</t>
    </r>
    <r>
      <rPr>
        <sz val="9"/>
        <color rgb="FF1E293B"/>
        <rFont val="Arial"/>
        <family val="0"/>
        <charset val="1"/>
      </rPr>
      <t xml:space="preserve">)</t>
    </r>
  </si>
  <si>
    <r>
      <rPr>
        <i val="true"/>
        <sz val="9"/>
        <color rgb="FF475569"/>
        <rFont val="Arial"/>
        <family val="0"/>
        <charset val="1"/>
      </rPr>
      <t xml:space="preserve">plan-checker + middleware </t>
    </r>
    <r>
      <rPr>
        <i val="true"/>
        <sz val="9"/>
        <color rgb="FF475569"/>
        <rFont val="DejaVu Sans"/>
        <family val="2"/>
      </rPr>
      <t xml:space="preserve">검증</t>
    </r>
  </si>
  <si>
    <r>
      <rPr>
        <sz val="9"/>
        <color rgb="FF1E293B"/>
        <rFont val="Arial"/>
        <family val="0"/>
        <charset val="1"/>
      </rPr>
      <t xml:space="preserve">Overage billing </t>
    </r>
    <r>
      <rPr>
        <sz val="9"/>
        <color rgb="FF1E293B"/>
        <rFont val="DejaVu Sans"/>
        <family val="2"/>
      </rPr>
      <t xml:space="preserve">동작 확인 </t>
    </r>
    <r>
      <rPr>
        <sz val="9"/>
        <color rgb="FF1E293B"/>
        <rFont val="Arial"/>
        <family val="0"/>
        <charset val="1"/>
      </rPr>
      <t xml:space="preserve">(</t>
    </r>
    <r>
      <rPr>
        <sz val="9"/>
        <color rgb="FF1E293B"/>
        <rFont val="DejaVu Sans"/>
        <family val="2"/>
      </rPr>
      <t xml:space="preserve">유료 플랜</t>
    </r>
    <r>
      <rPr>
        <sz val="9"/>
        <color rgb="FF1E293B"/>
        <rFont val="Arial"/>
        <family val="0"/>
        <charset val="1"/>
      </rPr>
      <t xml:space="preserve">)</t>
    </r>
  </si>
  <si>
    <r>
      <rPr>
        <i val="true"/>
        <sz val="9"/>
        <color rgb="FF475569"/>
        <rFont val="Arial"/>
        <family val="0"/>
        <charset val="1"/>
      </rPr>
      <t xml:space="preserve">X-Plan-Overage </t>
    </r>
    <r>
      <rPr>
        <i val="true"/>
        <sz val="9"/>
        <color rgb="FF475569"/>
        <rFont val="DejaVu Sans"/>
        <family val="2"/>
      </rPr>
      <t xml:space="preserve">헤더 </t>
    </r>
    <r>
      <rPr>
        <i val="true"/>
        <sz val="9"/>
        <color rgb="FF475569"/>
        <rFont val="Arial"/>
        <family val="0"/>
        <charset val="1"/>
      </rPr>
      <t xml:space="preserve">+ Paddle charge</t>
    </r>
  </si>
  <si>
    <r>
      <rPr>
        <b val="true"/>
        <sz val="11"/>
        <color rgb="FF854D0E"/>
        <rFont val="Arial"/>
        <family val="0"/>
        <charset val="1"/>
      </rPr>
      <t xml:space="preserve">Phase 3: </t>
    </r>
    <r>
      <rPr>
        <b val="true"/>
        <sz val="11"/>
        <color rgb="FF854D0E"/>
        <rFont val="DejaVu Sans"/>
        <family val="2"/>
      </rPr>
      <t xml:space="preserve">결제 </t>
    </r>
    <r>
      <rPr>
        <b val="true"/>
        <sz val="11"/>
        <color rgb="FF854D0E"/>
        <rFont val="Arial"/>
        <family val="0"/>
        <charset val="1"/>
      </rPr>
      <t xml:space="preserve">&amp; </t>
    </r>
    <r>
      <rPr>
        <b val="true"/>
        <sz val="11"/>
        <color rgb="FF854D0E"/>
        <rFont val="DejaVu Sans"/>
        <family val="2"/>
      </rPr>
      <t xml:space="preserve">인증</t>
    </r>
  </si>
  <si>
    <t xml:space="preserve">결제</t>
  </si>
  <si>
    <r>
      <rPr>
        <sz val="9"/>
        <color rgb="FF1E293B"/>
        <rFont val="Arial"/>
        <family val="0"/>
        <charset val="1"/>
      </rPr>
      <t xml:space="preserve">Paddle Customer Portal E2E </t>
    </r>
    <r>
      <rPr>
        <sz val="9"/>
        <color rgb="FF1E293B"/>
        <rFont val="DejaVu Sans"/>
        <family val="2"/>
      </rPr>
      <t xml:space="preserve">테스트</t>
    </r>
  </si>
  <si>
    <t xml:space="preserve">은태님</t>
  </si>
  <si>
    <r>
      <rPr>
        <i val="true"/>
        <sz val="9"/>
        <color rgb="FF475569"/>
        <rFont val="DejaVu Sans"/>
        <family val="2"/>
      </rPr>
      <t xml:space="preserve">구독 관리</t>
    </r>
    <r>
      <rPr>
        <i val="true"/>
        <sz val="9"/>
        <color rgb="FF475569"/>
        <rFont val="Arial"/>
        <family val="0"/>
        <charset val="1"/>
      </rPr>
      <t xml:space="preserve">/</t>
    </r>
    <r>
      <rPr>
        <i val="true"/>
        <sz val="9"/>
        <color rgb="FF475569"/>
        <rFont val="DejaVu Sans"/>
        <family val="2"/>
      </rPr>
      <t xml:space="preserve">결제수단 변경</t>
    </r>
    <r>
      <rPr>
        <i val="true"/>
        <sz val="9"/>
        <color rgb="FF475569"/>
        <rFont val="Arial"/>
        <family val="0"/>
        <charset val="1"/>
      </rPr>
      <t xml:space="preserve">/</t>
    </r>
    <r>
      <rPr>
        <i val="true"/>
        <sz val="9"/>
        <color rgb="FF475569"/>
        <rFont val="DejaVu Sans"/>
        <family val="2"/>
      </rPr>
      <t xml:space="preserve">취소 플로우</t>
    </r>
  </si>
  <si>
    <r>
      <rPr>
        <sz val="9"/>
        <color rgb="FF1E293B"/>
        <rFont val="Arial"/>
        <family val="0"/>
        <charset val="1"/>
      </rPr>
      <t xml:space="preserve">Paddle Invoice </t>
    </r>
    <r>
      <rPr>
        <sz val="9"/>
        <color rgb="FF1E293B"/>
        <rFont val="DejaVu Sans"/>
        <family val="2"/>
      </rPr>
      <t xml:space="preserve">자동 생성 확인</t>
    </r>
  </si>
  <si>
    <r>
      <rPr>
        <i val="true"/>
        <sz val="9"/>
        <color rgb="FF475569"/>
        <rFont val="Arial"/>
        <family val="0"/>
        <charset val="1"/>
      </rPr>
      <t xml:space="preserve">MoR </t>
    </r>
    <r>
      <rPr>
        <i val="true"/>
        <sz val="9"/>
        <color rgb="FF475569"/>
        <rFont val="DejaVu Sans"/>
        <family val="2"/>
      </rPr>
      <t xml:space="preserve">인보이스 정상 발행</t>
    </r>
  </si>
  <si>
    <r>
      <rPr>
        <sz val="9"/>
        <color rgb="FF1E293B"/>
        <rFont val="Arial"/>
        <family val="0"/>
        <charset val="1"/>
      </rPr>
      <t xml:space="preserve">Free→Basic </t>
    </r>
    <r>
      <rPr>
        <sz val="9"/>
        <color rgb="FF1E293B"/>
        <rFont val="DejaVu Sans"/>
        <family val="2"/>
      </rPr>
      <t xml:space="preserve">업그레이드 플로우 테스트</t>
    </r>
  </si>
  <si>
    <r>
      <rPr>
        <i val="true"/>
        <sz val="9"/>
        <color rgb="FF475569"/>
        <rFont val="Arial"/>
        <family val="0"/>
        <charset val="1"/>
      </rPr>
      <t xml:space="preserve">Paddle Checkout → webhook → DB </t>
    </r>
    <r>
      <rPr>
        <i val="true"/>
        <sz val="9"/>
        <color rgb="FF475569"/>
        <rFont val="DejaVu Sans"/>
        <family val="2"/>
      </rPr>
      <t xml:space="preserve">업데이트</t>
    </r>
  </si>
  <si>
    <r>
      <rPr>
        <sz val="9"/>
        <color rgb="FF1E293B"/>
        <rFont val="Arial"/>
        <family val="0"/>
        <charset val="1"/>
      </rPr>
      <t xml:space="preserve">Annual </t>
    </r>
    <r>
      <rPr>
        <sz val="9"/>
        <color rgb="FF1E293B"/>
        <rFont val="DejaVu Sans"/>
        <family val="2"/>
      </rPr>
      <t xml:space="preserve">토글 플로우 테스트 </t>
    </r>
    <r>
      <rPr>
        <sz val="9"/>
        <color rgb="FF1E293B"/>
        <rFont val="Arial"/>
        <family val="0"/>
        <charset val="1"/>
      </rPr>
      <t xml:space="preserve">(Monthly↔Annual)</t>
    </r>
  </si>
  <si>
    <r>
      <rPr>
        <i val="true"/>
        <sz val="9"/>
        <color rgb="FF475569"/>
        <rFont val="Arial"/>
        <family val="0"/>
        <charset val="1"/>
      </rPr>
      <t xml:space="preserve">Dashboard</t>
    </r>
    <r>
      <rPr>
        <i val="true"/>
        <sz val="9"/>
        <color rgb="FF475569"/>
        <rFont val="DejaVu Sans"/>
        <family val="2"/>
      </rPr>
      <t xml:space="preserve">에서 전환 시 </t>
    </r>
    <r>
      <rPr>
        <i val="true"/>
        <sz val="9"/>
        <color rgb="FF475569"/>
        <rFont val="Arial"/>
        <family val="0"/>
        <charset val="1"/>
      </rPr>
      <t xml:space="preserve">Paddle </t>
    </r>
    <r>
      <rPr>
        <i val="true"/>
        <sz val="9"/>
        <color rgb="FF475569"/>
        <rFont val="DejaVu Sans"/>
        <family val="2"/>
      </rPr>
      <t xml:space="preserve">반영</t>
    </r>
  </si>
  <si>
    <t xml:space="preserve">인증</t>
  </si>
  <si>
    <r>
      <rPr>
        <sz val="9"/>
        <color rgb="FF1E293B"/>
        <rFont val="DejaVu Sans"/>
        <family val="2"/>
      </rPr>
      <t xml:space="preserve">회원가입 → </t>
    </r>
    <r>
      <rPr>
        <sz val="9"/>
        <color rgb="FF1E293B"/>
        <rFont val="Arial"/>
        <family val="0"/>
        <charset val="1"/>
      </rPr>
      <t xml:space="preserve">API </t>
    </r>
    <r>
      <rPr>
        <sz val="9"/>
        <color rgb="FF1E293B"/>
        <rFont val="DejaVu Sans"/>
        <family val="2"/>
      </rPr>
      <t xml:space="preserve">키 발급 → 첫 </t>
    </r>
    <r>
      <rPr>
        <sz val="9"/>
        <color rgb="FF1E293B"/>
        <rFont val="Arial"/>
        <family val="0"/>
        <charset val="1"/>
      </rPr>
      <t xml:space="preserve">API </t>
    </r>
    <r>
      <rPr>
        <sz val="9"/>
        <color rgb="FF1E293B"/>
        <rFont val="DejaVu Sans"/>
        <family val="2"/>
      </rPr>
      <t xml:space="preserve">호출 </t>
    </r>
    <r>
      <rPr>
        <sz val="9"/>
        <color rgb="FF1E293B"/>
        <rFont val="Arial"/>
        <family val="0"/>
        <charset val="1"/>
      </rPr>
      <t xml:space="preserve">E2E</t>
    </r>
  </si>
  <si>
    <t xml:space="preserve">신규 유저 전체 플로우 체험</t>
  </si>
  <si>
    <r>
      <rPr>
        <sz val="9"/>
        <color rgb="FF1E293B"/>
        <rFont val="Arial"/>
        <family val="0"/>
        <charset val="1"/>
      </rPr>
      <t xml:space="preserve">Supabase Auth </t>
    </r>
    <r>
      <rPr>
        <sz val="9"/>
        <color rgb="FF1E293B"/>
        <rFont val="DejaVu Sans"/>
        <family val="2"/>
      </rPr>
      <t xml:space="preserve">소셜 로그인 확인 </t>
    </r>
    <r>
      <rPr>
        <sz val="9"/>
        <color rgb="FF1E293B"/>
        <rFont val="Arial"/>
        <family val="0"/>
        <charset val="1"/>
      </rPr>
      <t xml:space="preserve">(Google)</t>
    </r>
  </si>
  <si>
    <r>
      <rPr>
        <i val="true"/>
        <sz val="9"/>
        <color rgb="FF475569"/>
        <rFont val="Arial"/>
        <family val="0"/>
        <charset val="1"/>
      </rPr>
      <t xml:space="preserve">OAuth </t>
    </r>
    <r>
      <rPr>
        <i val="true"/>
        <sz val="9"/>
        <color rgb="FF475569"/>
        <rFont val="DejaVu Sans"/>
        <family val="2"/>
      </rPr>
      <t xml:space="preserve">콜백 정상 동작</t>
    </r>
  </si>
  <si>
    <r>
      <rPr>
        <b val="true"/>
        <sz val="11"/>
        <color rgb="FF991B1B"/>
        <rFont val="Arial"/>
        <family val="0"/>
        <charset val="1"/>
      </rPr>
      <t xml:space="preserve">Phase 4: Shopify </t>
    </r>
    <r>
      <rPr>
        <b val="true"/>
        <sz val="11"/>
        <color rgb="FF991B1B"/>
        <rFont val="DejaVu Sans"/>
        <family val="2"/>
      </rPr>
      <t xml:space="preserve">앱 심사</t>
    </r>
  </si>
  <si>
    <t xml:space="preserve">Shopify</t>
  </si>
  <si>
    <r>
      <rPr>
        <sz val="9"/>
        <color rgb="FF1E293B"/>
        <rFont val="Arial"/>
        <family val="0"/>
        <charset val="1"/>
      </rPr>
      <t xml:space="preserve">HMAC </t>
    </r>
    <r>
      <rPr>
        <sz val="9"/>
        <color rgb="FF1E293B"/>
        <rFont val="DejaVu Sans"/>
        <family val="2"/>
      </rPr>
      <t xml:space="preserve">서명 검증 구현 </t>
    </r>
    <r>
      <rPr>
        <sz val="9"/>
        <color rgb="FF1E293B"/>
        <rFont val="Arial"/>
        <family val="0"/>
        <charset val="1"/>
      </rPr>
      <t xml:space="preserve">(</t>
    </r>
    <r>
      <rPr>
        <sz val="9"/>
        <color rgb="FF1E293B"/>
        <rFont val="DejaVu Sans"/>
        <family val="2"/>
      </rPr>
      <t xml:space="preserve">보안 필수</t>
    </r>
    <r>
      <rPr>
        <sz val="9"/>
        <color rgb="FF1E293B"/>
        <rFont val="Arial"/>
        <family val="0"/>
        <charset val="1"/>
      </rPr>
      <t xml:space="preserve">)</t>
    </r>
  </si>
  <si>
    <r>
      <rPr>
        <i val="true"/>
        <sz val="9"/>
        <color rgb="FF475569"/>
        <rFont val="DejaVu Sans"/>
        <family val="2"/>
      </rPr>
      <t xml:space="preserve">세션 </t>
    </r>
    <r>
      <rPr>
        <i val="true"/>
        <sz val="9"/>
        <color rgb="FF475569"/>
        <rFont val="Arial"/>
        <family val="0"/>
        <charset val="1"/>
      </rPr>
      <t xml:space="preserve">35</t>
    </r>
    <r>
      <rPr>
        <i val="true"/>
        <sz val="9"/>
        <color rgb="FF475569"/>
        <rFont val="DejaVu Sans"/>
        <family val="2"/>
      </rPr>
      <t xml:space="preserve">에서 발견된 미완료 항목</t>
    </r>
  </si>
  <si>
    <r>
      <rPr>
        <sz val="9"/>
        <color rgb="FF1E293B"/>
        <rFont val="Arial"/>
        <family val="0"/>
        <charset val="1"/>
      </rPr>
      <t xml:space="preserve">console.log 6</t>
    </r>
    <r>
      <rPr>
        <sz val="9"/>
        <color rgb="FF1E293B"/>
        <rFont val="DejaVu Sans"/>
        <family val="2"/>
      </rPr>
      <t xml:space="preserve">개 제거</t>
    </r>
  </si>
  <si>
    <t xml:space="preserve">프로덕션 코드 정리</t>
  </si>
  <si>
    <r>
      <rPr>
        <sz val="9"/>
        <color rgb="FF1E293B"/>
        <rFont val="Arial"/>
        <family val="0"/>
        <charset val="1"/>
      </rPr>
      <t xml:space="preserve">GDPR </t>
    </r>
    <r>
      <rPr>
        <sz val="9"/>
        <color rgb="FF1E293B"/>
        <rFont val="DejaVu Sans"/>
        <family val="2"/>
      </rPr>
      <t xml:space="preserve">웹훅 처리 완성 </t>
    </r>
    <r>
      <rPr>
        <sz val="9"/>
        <color rgb="FF1E293B"/>
        <rFont val="Arial"/>
        <family val="0"/>
        <charset val="1"/>
      </rPr>
      <t xml:space="preserve">(shop/customer/data_request)</t>
    </r>
  </si>
  <si>
    <r>
      <rPr>
        <i val="true"/>
        <sz val="9"/>
        <color rgb="FF475569"/>
        <rFont val="Arial"/>
        <family val="0"/>
        <charset val="1"/>
      </rPr>
      <t xml:space="preserve">Shopify </t>
    </r>
    <r>
      <rPr>
        <i val="true"/>
        <sz val="9"/>
        <color rgb="FF475569"/>
        <rFont val="DejaVu Sans"/>
        <family val="2"/>
      </rPr>
      <t xml:space="preserve">심사 필수 요건</t>
    </r>
  </si>
  <si>
    <r>
      <rPr>
        <sz val="9"/>
        <color rgb="FF1E293B"/>
        <rFont val="Arial"/>
        <family val="0"/>
        <charset val="1"/>
      </rPr>
      <t xml:space="preserve">error.ts Shopify UI </t>
    </r>
    <r>
      <rPr>
        <sz val="9"/>
        <color rgb="FF1E293B"/>
        <rFont val="DejaVu Sans"/>
        <family val="2"/>
      </rPr>
      <t xml:space="preserve">에러 처리 구현</t>
    </r>
  </si>
  <si>
    <t xml:space="preserve">사용자 친화적 에러 표시</t>
  </si>
  <si>
    <r>
      <rPr>
        <sz val="9"/>
        <color rgb="FF1E293B"/>
        <rFont val="Arial"/>
        <family val="0"/>
        <charset val="1"/>
      </rPr>
      <t xml:space="preserve">try-catch </t>
    </r>
    <r>
      <rPr>
        <sz val="9"/>
        <color rgb="FF1E293B"/>
        <rFont val="DejaVu Sans"/>
        <family val="2"/>
      </rPr>
      <t xml:space="preserve">에러 처리 보강</t>
    </r>
  </si>
  <si>
    <r>
      <rPr>
        <i val="true"/>
        <sz val="9"/>
        <color rgb="FF475569"/>
        <rFont val="DejaVu Sans"/>
        <family val="2"/>
      </rPr>
      <t xml:space="preserve">전체 </t>
    </r>
    <r>
      <rPr>
        <i val="true"/>
        <sz val="9"/>
        <color rgb="FF475569"/>
        <rFont val="Arial"/>
        <family val="0"/>
        <charset val="1"/>
      </rPr>
      <t xml:space="preserve">Shopify </t>
    </r>
    <r>
      <rPr>
        <i val="true"/>
        <sz val="9"/>
        <color rgb="FF475569"/>
        <rFont val="DejaVu Sans"/>
        <family val="2"/>
      </rPr>
      <t xml:space="preserve">관련 라우트</t>
    </r>
  </si>
  <si>
    <t xml:space="preserve">임베디드 앱 확인 통과</t>
  </si>
  <si>
    <r>
      <rPr>
        <i val="true"/>
        <sz val="9"/>
        <color rgb="FF475569"/>
        <rFont val="Arial"/>
        <family val="0"/>
        <charset val="1"/>
      </rPr>
      <t xml:space="preserve">Partner Dashboard</t>
    </r>
    <r>
      <rPr>
        <i val="true"/>
        <sz val="9"/>
        <color rgb="FF475569"/>
        <rFont val="DejaVu Sans"/>
        <family val="2"/>
      </rPr>
      <t xml:space="preserve">에서 확인</t>
    </r>
  </si>
  <si>
    <r>
      <rPr>
        <sz val="9"/>
        <color rgb="FF1E293B"/>
        <rFont val="Arial"/>
        <family val="0"/>
        <charset val="1"/>
      </rPr>
      <t xml:space="preserve">"</t>
    </r>
    <r>
      <rPr>
        <sz val="9"/>
        <color rgb="FF1E293B"/>
        <rFont val="DejaVu Sans"/>
        <family val="2"/>
      </rPr>
      <t xml:space="preserve">검토를 위해 제출</t>
    </r>
    <r>
      <rPr>
        <sz val="9"/>
        <color rgb="FF1E293B"/>
        <rFont val="Arial"/>
        <family val="0"/>
        <charset val="1"/>
      </rPr>
      <t xml:space="preserve">" </t>
    </r>
    <r>
      <rPr>
        <sz val="9"/>
        <color rgb="FF1E293B"/>
        <rFont val="DejaVu Sans"/>
        <family val="2"/>
      </rPr>
      <t xml:space="preserve">클릭</t>
    </r>
  </si>
  <si>
    <r>
      <rPr>
        <i val="true"/>
        <sz val="9"/>
        <color rgb="FF475569"/>
        <rFont val="DejaVu Sans"/>
        <family val="2"/>
      </rPr>
      <t xml:space="preserve">심사 </t>
    </r>
    <r>
      <rPr>
        <i val="true"/>
        <sz val="9"/>
        <color rgb="FF475569"/>
        <rFont val="Arial"/>
        <family val="0"/>
        <charset val="1"/>
      </rPr>
      <t xml:space="preserve">7~14</t>
    </r>
    <r>
      <rPr>
        <i val="true"/>
        <sz val="9"/>
        <color rgb="FF475569"/>
        <rFont val="DejaVu Sans"/>
        <family val="2"/>
      </rPr>
      <t xml:space="preserve">일 소요</t>
    </r>
  </si>
  <si>
    <r>
      <rPr>
        <b val="true"/>
        <sz val="11"/>
        <color rgb="FF6B21A8"/>
        <rFont val="Arial"/>
        <family val="0"/>
        <charset val="1"/>
      </rPr>
      <t xml:space="preserve">Phase 5: QA &amp; </t>
    </r>
    <r>
      <rPr>
        <b val="true"/>
        <sz val="11"/>
        <color rgb="FF6B21A8"/>
        <rFont val="DejaVu Sans"/>
        <family val="2"/>
      </rPr>
      <t xml:space="preserve">최종 점검</t>
    </r>
  </si>
  <si>
    <t xml:space="preserve">QA</t>
  </si>
  <si>
    <r>
      <rPr>
        <sz val="9"/>
        <color rgb="FF1E293B"/>
        <rFont val="DejaVu Sans"/>
        <family val="2"/>
      </rPr>
      <t xml:space="preserve">프로덕션 빌드 최종 확인 </t>
    </r>
    <r>
      <rPr>
        <sz val="9"/>
        <color rgb="FF1E293B"/>
        <rFont val="Arial"/>
        <family val="0"/>
        <charset val="1"/>
      </rPr>
      <t xml:space="preserve">(npm run build)</t>
    </r>
  </si>
  <si>
    <r>
      <rPr>
        <i val="true"/>
        <sz val="9"/>
        <color rgb="FF475569"/>
        <rFont val="DejaVu Sans"/>
        <family val="2"/>
      </rPr>
      <t xml:space="preserve">에러 </t>
    </r>
    <r>
      <rPr>
        <i val="true"/>
        <sz val="9"/>
        <color rgb="FF475569"/>
        <rFont val="Arial"/>
        <family val="0"/>
        <charset val="1"/>
      </rPr>
      <t xml:space="preserve">0</t>
    </r>
    <r>
      <rPr>
        <i val="true"/>
        <sz val="9"/>
        <color rgb="FF475569"/>
        <rFont val="DejaVu Sans"/>
        <family val="2"/>
      </rPr>
      <t xml:space="preserve">건 확인</t>
    </r>
  </si>
  <si>
    <t xml:space="preserve">모바일 반응형 전체 페이지 테스트</t>
  </si>
  <si>
    <r>
      <rPr>
        <i val="true"/>
        <sz val="9"/>
        <color rgb="FF475569"/>
        <rFont val="Arial"/>
        <family val="0"/>
        <charset val="1"/>
      </rPr>
      <t xml:space="preserve">iPhone/Android </t>
    </r>
    <r>
      <rPr>
        <i val="true"/>
        <sz val="9"/>
        <color rgb="FF475569"/>
        <rFont val="DejaVu Sans"/>
        <family val="2"/>
      </rPr>
      <t xml:space="preserve">브라우저</t>
    </r>
  </si>
  <si>
    <r>
      <rPr>
        <sz val="9"/>
        <color rgb="FF1E293B"/>
        <rFont val="DejaVu Sans"/>
        <family val="2"/>
      </rPr>
      <t xml:space="preserve">다국어 전환 테스트 </t>
    </r>
    <r>
      <rPr>
        <sz val="9"/>
        <color rgb="FF1E293B"/>
        <rFont val="Arial"/>
        <family val="0"/>
        <charset val="1"/>
      </rPr>
      <t xml:space="preserve">(6</t>
    </r>
    <r>
      <rPr>
        <sz val="9"/>
        <color rgb="FF1E293B"/>
        <rFont val="DejaVu Sans"/>
        <family val="2"/>
      </rPr>
      <t xml:space="preserve">개 언어</t>
    </r>
    <r>
      <rPr>
        <sz val="9"/>
        <color rgb="FF1E293B"/>
        <rFont val="Arial"/>
        <family val="0"/>
        <charset val="1"/>
      </rPr>
      <t xml:space="preserve">)</t>
    </r>
  </si>
  <si>
    <t xml:space="preserve">EN/KO/JA/ZH/ES/DE</t>
  </si>
  <si>
    <r>
      <rPr>
        <sz val="9"/>
        <color rgb="FF1E293B"/>
        <rFont val="Arial"/>
        <family val="0"/>
        <charset val="1"/>
      </rPr>
      <t xml:space="preserve">Widget Demo </t>
    </r>
    <r>
      <rPr>
        <sz val="9"/>
        <color rgb="FF1E293B"/>
        <rFont val="DejaVu Sans"/>
        <family val="2"/>
      </rPr>
      <t xml:space="preserve">페이지 정상 동작 확인</t>
    </r>
  </si>
  <si>
    <t xml:space="preserve">www.potal.app/widget/demo</t>
  </si>
  <si>
    <r>
      <rPr>
        <sz val="9"/>
        <color rgb="FF1E293B"/>
        <rFont val="Arial"/>
        <family val="0"/>
        <charset val="1"/>
      </rPr>
      <t xml:space="preserve">Developers Playground </t>
    </r>
    <r>
      <rPr>
        <sz val="9"/>
        <color rgb="FF1E293B"/>
        <rFont val="DejaVu Sans"/>
        <family val="2"/>
      </rPr>
      <t xml:space="preserve">정상 동작 확인</t>
    </r>
  </si>
  <si>
    <t xml:space="preserve">/developers/playground</t>
  </si>
  <si>
    <r>
      <rPr>
        <sz val="9"/>
        <color rgb="FF1E293B"/>
        <rFont val="Arial"/>
        <family val="0"/>
        <charset val="1"/>
      </rPr>
      <t xml:space="preserve">API Docs </t>
    </r>
    <r>
      <rPr>
        <sz val="9"/>
        <color rgb="FF1E293B"/>
        <rFont val="DejaVu Sans"/>
        <family val="2"/>
      </rPr>
      <t xml:space="preserve">인터랙티브 테스트 </t>
    </r>
    <r>
      <rPr>
        <sz val="9"/>
        <color rgb="FF1E293B"/>
        <rFont val="Arial"/>
        <family val="0"/>
        <charset val="1"/>
      </rPr>
      <t xml:space="preserve">(Try it)</t>
    </r>
  </si>
  <si>
    <r>
      <rPr>
        <i val="true"/>
        <sz val="9"/>
        <color rgb="FF475569"/>
        <rFont val="Arial"/>
        <family val="0"/>
        <charset val="1"/>
      </rPr>
      <t xml:space="preserve">/developers/docs 6</t>
    </r>
    <r>
      <rPr>
        <i val="true"/>
        <sz val="9"/>
        <color rgb="FF475569"/>
        <rFont val="DejaVu Sans"/>
        <family val="2"/>
      </rPr>
      <t xml:space="preserve">개 엔드포인트</t>
    </r>
  </si>
  <si>
    <r>
      <rPr>
        <sz val="9"/>
        <color rgb="FF1E293B"/>
        <rFont val="Arial"/>
        <family val="0"/>
        <charset val="1"/>
      </rPr>
      <t xml:space="preserve">SEO </t>
    </r>
    <r>
      <rPr>
        <sz val="9"/>
        <color rgb="FF1E293B"/>
        <rFont val="DejaVu Sans"/>
        <family val="2"/>
      </rPr>
      <t xml:space="preserve">메타데이터 확인 </t>
    </r>
    <r>
      <rPr>
        <sz val="9"/>
        <color rgb="FF1E293B"/>
        <rFont val="Arial"/>
        <family val="0"/>
        <charset val="1"/>
      </rPr>
      <t xml:space="preserve">(OG image, sitemap, robots)</t>
    </r>
  </si>
  <si>
    <r>
      <rPr>
        <i val="true"/>
        <sz val="9"/>
        <color rgb="FF475569"/>
        <rFont val="DejaVu Sans"/>
        <family val="2"/>
      </rPr>
      <t xml:space="preserve">각 페이지 </t>
    </r>
    <r>
      <rPr>
        <i val="true"/>
        <sz val="9"/>
        <color rgb="FF475569"/>
        <rFont val="Arial"/>
        <family val="0"/>
        <charset val="1"/>
      </rPr>
      <t xml:space="preserve">og:title, og:description</t>
    </r>
  </si>
  <si>
    <r>
      <rPr>
        <sz val="9"/>
        <color rgb="FF1E293B"/>
        <rFont val="Arial"/>
        <family val="0"/>
        <charset val="1"/>
      </rPr>
      <t xml:space="preserve">Performance </t>
    </r>
    <r>
      <rPr>
        <sz val="9"/>
        <color rgb="FF1E293B"/>
        <rFont val="DejaVu Sans"/>
        <family val="2"/>
      </rPr>
      <t xml:space="preserve">체크 </t>
    </r>
    <r>
      <rPr>
        <sz val="9"/>
        <color rgb="FF1E293B"/>
        <rFont val="Arial"/>
        <family val="0"/>
        <charset val="1"/>
      </rPr>
      <t xml:space="preserve">(Lighthouse 80+)</t>
    </r>
  </si>
  <si>
    <r>
      <rPr>
        <i val="true"/>
        <sz val="9"/>
        <color rgb="FF475569"/>
        <rFont val="Arial"/>
        <family val="0"/>
        <charset val="1"/>
      </rPr>
      <t xml:space="preserve">LCP, CLS, FID </t>
    </r>
    <r>
      <rPr>
        <i val="true"/>
        <sz val="9"/>
        <color rgb="FF475569"/>
        <rFont val="DejaVu Sans"/>
        <family val="2"/>
      </rPr>
      <t xml:space="preserve">기본 수준</t>
    </r>
  </si>
  <si>
    <r>
      <rPr>
        <sz val="9"/>
        <color rgb="FF1E293B"/>
        <rFont val="DejaVu Sans"/>
        <family val="2"/>
      </rPr>
      <t xml:space="preserve">보안 점검 </t>
    </r>
    <r>
      <rPr>
        <sz val="9"/>
        <color rgb="FF1E293B"/>
        <rFont val="Arial"/>
        <family val="0"/>
        <charset val="1"/>
      </rPr>
      <t xml:space="preserve">(API </t>
    </r>
    <r>
      <rPr>
        <sz val="9"/>
        <color rgb="FF1E293B"/>
        <rFont val="DejaVu Sans"/>
        <family val="2"/>
      </rPr>
      <t xml:space="preserve">키 노출</t>
    </r>
    <r>
      <rPr>
        <sz val="9"/>
        <color rgb="FF1E293B"/>
        <rFont val="Arial"/>
        <family val="0"/>
        <charset val="1"/>
      </rPr>
      <t xml:space="preserve">, CORS, CSP)</t>
    </r>
  </si>
  <si>
    <t xml:space="preserve">환경변수 노출 없음 확인</t>
  </si>
  <si>
    <r>
      <rPr>
        <b val="true"/>
        <sz val="11"/>
        <color rgb="FF065F46"/>
        <rFont val="Arial"/>
        <family val="0"/>
        <charset val="1"/>
      </rPr>
      <t xml:space="preserve">Phase 6: MVP </t>
    </r>
    <r>
      <rPr>
        <b val="true"/>
        <sz val="11"/>
        <color rgb="FF065F46"/>
        <rFont val="DejaVu Sans"/>
        <family val="2"/>
      </rPr>
      <t xml:space="preserve">런치</t>
    </r>
  </si>
  <si>
    <t xml:space="preserve">런치</t>
  </si>
  <si>
    <r>
      <rPr>
        <sz val="9"/>
        <color rgb="FF1E293B"/>
        <rFont val="Arial"/>
        <family val="0"/>
        <charset val="1"/>
      </rPr>
      <t xml:space="preserve">Product Hunt </t>
    </r>
    <r>
      <rPr>
        <sz val="9"/>
        <color rgb="FF1E293B"/>
        <rFont val="DejaVu Sans"/>
        <family val="2"/>
      </rPr>
      <t xml:space="preserve">런치 </t>
    </r>
    <r>
      <rPr>
        <sz val="9"/>
        <color rgb="FF1E293B"/>
        <rFont val="Arial"/>
        <family val="0"/>
        <charset val="1"/>
      </rPr>
      <t xml:space="preserve">(</t>
    </r>
    <r>
      <rPr>
        <sz val="9"/>
        <color rgb="FF1E293B"/>
        <rFont val="DejaVu Sans"/>
        <family val="2"/>
      </rPr>
      <t xml:space="preserve">프로필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에셋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코멘트 준비완료</t>
    </r>
    <r>
      <rPr>
        <sz val="9"/>
        <color rgb="FF1E293B"/>
        <rFont val="Arial"/>
        <family val="0"/>
        <charset val="1"/>
      </rPr>
      <t xml:space="preserve">)</t>
    </r>
  </si>
  <si>
    <r>
      <rPr>
        <i val="true"/>
        <sz val="9"/>
        <color rgb="FF475569"/>
        <rFont val="Arial"/>
        <family val="0"/>
        <charset val="1"/>
      </rPr>
      <t xml:space="preserve">gallery 4</t>
    </r>
    <r>
      <rPr>
        <i val="true"/>
        <sz val="9"/>
        <color rgb="FF475569"/>
        <rFont val="DejaVu Sans"/>
        <family val="2"/>
      </rPr>
      <t xml:space="preserve">장 </t>
    </r>
    <r>
      <rPr>
        <i val="true"/>
        <sz val="9"/>
        <color rgb="FF475569"/>
        <rFont val="Arial"/>
        <family val="0"/>
        <charset val="1"/>
      </rPr>
      <t xml:space="preserve">+ thumbnail </t>
    </r>
    <r>
      <rPr>
        <i val="true"/>
        <sz val="9"/>
        <color rgb="FF475569"/>
        <rFont val="DejaVu Sans"/>
        <family val="2"/>
      </rPr>
      <t xml:space="preserve">준비됨</t>
    </r>
  </si>
  <si>
    <r>
      <rPr>
        <sz val="9"/>
        <color rgb="FF1E293B"/>
        <rFont val="Arial"/>
        <family val="0"/>
        <charset val="1"/>
      </rPr>
      <t xml:space="preserve">Custom GPT </t>
    </r>
    <r>
      <rPr>
        <sz val="9"/>
        <color rgb="FF1E293B"/>
        <rFont val="DejaVu Sans"/>
        <family val="2"/>
      </rPr>
      <t xml:space="preserve">최종 확인 </t>
    </r>
    <r>
      <rPr>
        <sz val="9"/>
        <color rgb="FF1E293B"/>
        <rFont val="Arial"/>
        <family val="0"/>
        <charset val="1"/>
      </rPr>
      <t xml:space="preserve">(240</t>
    </r>
    <r>
      <rPr>
        <sz val="9"/>
        <color rgb="FF1E293B"/>
        <rFont val="DejaVu Sans"/>
        <family val="2"/>
      </rPr>
      <t xml:space="preserve">개국</t>
    </r>
    <r>
      <rPr>
        <sz val="9"/>
        <color rgb="FF1E293B"/>
        <rFont val="Arial"/>
        <family val="0"/>
        <charset val="1"/>
      </rPr>
      <t xml:space="preserve">, </t>
    </r>
    <r>
      <rPr>
        <sz val="9"/>
        <color rgb="FF1E293B"/>
        <rFont val="DejaVu Sans"/>
        <family val="2"/>
      </rPr>
      <t xml:space="preserve">프로덕션 </t>
    </r>
    <r>
      <rPr>
        <sz val="9"/>
        <color rgb="FF1E293B"/>
        <rFont val="Arial"/>
        <family val="0"/>
        <charset val="1"/>
      </rPr>
      <t xml:space="preserve">API)</t>
    </r>
  </si>
  <si>
    <r>
      <rPr>
        <i val="true"/>
        <sz val="9"/>
        <color rgb="FF475569"/>
        <rFont val="Arial"/>
        <family val="0"/>
        <charset val="1"/>
      </rPr>
      <t xml:space="preserve">ChatGPT</t>
    </r>
    <r>
      <rPr>
        <i val="true"/>
        <sz val="9"/>
        <color rgb="FF475569"/>
        <rFont val="DejaVu Sans"/>
        <family val="2"/>
      </rPr>
      <t xml:space="preserve">에서 실제 테스트</t>
    </r>
  </si>
  <si>
    <r>
      <rPr>
        <sz val="9"/>
        <color rgb="FF1E293B"/>
        <rFont val="Arial"/>
        <family val="0"/>
        <charset val="1"/>
      </rPr>
      <t xml:space="preserve">Claude MCP </t>
    </r>
    <r>
      <rPr>
        <sz val="9"/>
        <color rgb="FF1E293B"/>
        <rFont val="DejaVu Sans"/>
        <family val="2"/>
      </rPr>
      <t xml:space="preserve">서버 최종 확인</t>
    </r>
  </si>
  <si>
    <r>
      <rPr>
        <i val="true"/>
        <sz val="9"/>
        <color rgb="FF475569"/>
        <rFont val="Arial"/>
        <family val="0"/>
        <charset val="1"/>
      </rPr>
      <t xml:space="preserve">Claude Desktop</t>
    </r>
    <r>
      <rPr>
        <i val="true"/>
        <sz val="9"/>
        <color rgb="FF475569"/>
        <rFont val="DejaVu Sans"/>
        <family val="2"/>
      </rPr>
      <t xml:space="preserve">에서 실제 테스트</t>
    </r>
  </si>
  <si>
    <r>
      <rPr>
        <sz val="9"/>
        <color rgb="FF1E293B"/>
        <rFont val="Arial"/>
        <family val="0"/>
        <charset val="1"/>
      </rPr>
      <t xml:space="preserve">Gemini Gem </t>
    </r>
    <r>
      <rPr>
        <sz val="9"/>
        <color rgb="FF1E293B"/>
        <rFont val="DejaVu Sans"/>
        <family val="2"/>
      </rPr>
      <t xml:space="preserve">최종 확인</t>
    </r>
  </si>
  <si>
    <r>
      <rPr>
        <i val="true"/>
        <sz val="9"/>
        <color rgb="FF475569"/>
        <rFont val="Arial"/>
        <family val="0"/>
        <charset val="1"/>
      </rPr>
      <t xml:space="preserve">Google Gemini</t>
    </r>
    <r>
      <rPr>
        <i val="true"/>
        <sz val="9"/>
        <color rgb="FF475569"/>
        <rFont val="DejaVu Sans"/>
        <family val="2"/>
      </rPr>
      <t xml:space="preserve">에서 실제 테스트</t>
    </r>
  </si>
  <si>
    <r>
      <rPr>
        <sz val="9"/>
        <color rgb="FF1E293B"/>
        <rFont val="Arial"/>
        <family val="0"/>
        <charset val="1"/>
      </rPr>
      <t xml:space="preserve">README.md / </t>
    </r>
    <r>
      <rPr>
        <sz val="9"/>
        <color rgb="FF1E293B"/>
        <rFont val="DejaVu Sans"/>
        <family val="2"/>
      </rPr>
      <t xml:space="preserve">랜딩페이지 최종 카피 리뷰</t>
    </r>
  </si>
  <si>
    <r>
      <rPr>
        <i val="true"/>
        <sz val="9"/>
        <color rgb="FF475569"/>
        <rFont val="DejaVu Sans"/>
        <family val="2"/>
      </rPr>
      <t xml:space="preserve">오타</t>
    </r>
    <r>
      <rPr>
        <i val="true"/>
        <sz val="9"/>
        <color rgb="FF475569"/>
        <rFont val="Arial"/>
        <family val="0"/>
        <charset val="1"/>
      </rPr>
      <t xml:space="preserve">/</t>
    </r>
    <r>
      <rPr>
        <i val="true"/>
        <sz val="9"/>
        <color rgb="FF475569"/>
        <rFont val="DejaVu Sans"/>
        <family val="2"/>
      </rPr>
      <t xml:space="preserve">수치 최종 확인</t>
    </r>
  </si>
  <si>
    <r>
      <rPr>
        <sz val="9"/>
        <color rgb="FF1E293B"/>
        <rFont val="Arial"/>
        <family val="0"/>
        <charset val="1"/>
      </rPr>
      <t xml:space="preserve">Vercel </t>
    </r>
    <r>
      <rPr>
        <sz val="9"/>
        <color rgb="FF1E293B"/>
        <rFont val="DejaVu Sans"/>
        <family val="2"/>
      </rPr>
      <t xml:space="preserve">환경변수 전체 점검</t>
    </r>
  </si>
  <si>
    <t xml:space="preserve">불필요한 변수 없음 확인</t>
  </si>
  <si>
    <r>
      <rPr>
        <sz val="9"/>
        <color rgb="FF1E293B"/>
        <rFont val="DejaVu Sans"/>
        <family val="2"/>
      </rPr>
      <t xml:space="preserve">도메인</t>
    </r>
    <r>
      <rPr>
        <sz val="9"/>
        <color rgb="FF1E293B"/>
        <rFont val="Arial"/>
        <family val="0"/>
        <charset val="1"/>
      </rPr>
      <t xml:space="preserve">/SSL </t>
    </r>
    <r>
      <rPr>
        <sz val="9"/>
        <color rgb="FF1E293B"/>
        <rFont val="DejaVu Sans"/>
        <family val="2"/>
      </rPr>
      <t xml:space="preserve">최종 확인 </t>
    </r>
    <r>
      <rPr>
        <sz val="9"/>
        <color rgb="FF1E293B"/>
        <rFont val="Arial"/>
        <family val="0"/>
        <charset val="1"/>
      </rPr>
      <t xml:space="preserve">(www.potal.app)</t>
    </r>
  </si>
  <si>
    <r>
      <rPr>
        <i val="true"/>
        <sz val="9"/>
        <color rgb="FF475569"/>
        <rFont val="Arial"/>
        <family val="0"/>
        <charset val="1"/>
      </rPr>
      <t xml:space="preserve">HTTPS, redirect </t>
    </r>
    <r>
      <rPr>
        <i val="true"/>
        <sz val="9"/>
        <color rgb="FF475569"/>
        <rFont val="DejaVu Sans"/>
        <family val="2"/>
      </rPr>
      <t xml:space="preserve">정상</t>
    </r>
  </si>
  <si>
    <r>
      <rPr>
        <sz val="9"/>
        <color rgb="FF1E293B"/>
        <rFont val="DejaVu Sans"/>
        <family val="2"/>
      </rPr>
      <t xml:space="preserve">모니터링 설정 </t>
    </r>
    <r>
      <rPr>
        <sz val="9"/>
        <color rgb="FF1E293B"/>
        <rFont val="Arial"/>
        <family val="0"/>
        <charset val="1"/>
      </rPr>
      <t xml:space="preserve">(Vercel Analytics or </t>
    </r>
    <r>
      <rPr>
        <sz val="9"/>
        <color rgb="FF1E293B"/>
        <rFont val="DejaVu Sans"/>
        <family val="2"/>
      </rPr>
      <t xml:space="preserve">대안</t>
    </r>
    <r>
      <rPr>
        <sz val="9"/>
        <color rgb="FF1E293B"/>
        <rFont val="Arial"/>
        <family val="0"/>
        <charset val="1"/>
      </rPr>
      <t xml:space="preserve">)</t>
    </r>
  </si>
  <si>
    <t xml:space="preserve">Low</t>
  </si>
  <si>
    <r>
      <rPr>
        <i val="true"/>
        <sz val="9"/>
        <color rgb="FF475569"/>
        <rFont val="DejaVu Sans"/>
        <family val="2"/>
      </rPr>
      <t xml:space="preserve">트래픽</t>
    </r>
    <r>
      <rPr>
        <i val="true"/>
        <sz val="9"/>
        <color rgb="FF475569"/>
        <rFont val="Arial"/>
        <family val="0"/>
        <charset val="1"/>
      </rPr>
      <t xml:space="preserve">/</t>
    </r>
    <r>
      <rPr>
        <i val="true"/>
        <sz val="9"/>
        <color rgb="FF475569"/>
        <rFont val="DejaVu Sans"/>
        <family val="2"/>
      </rPr>
      <t xml:space="preserve">에러 추적</t>
    </r>
  </si>
  <si>
    <r>
      <rPr>
        <sz val="9"/>
        <color rgb="FF1E293B"/>
        <rFont val="Arial"/>
        <family val="0"/>
        <charset val="1"/>
      </rPr>
      <t xml:space="preserve">contact@potal.app </t>
    </r>
    <r>
      <rPr>
        <sz val="9"/>
        <color rgb="FF1E293B"/>
        <rFont val="DejaVu Sans"/>
        <family val="2"/>
      </rPr>
      <t xml:space="preserve">이메일 수신 확인</t>
    </r>
  </si>
  <si>
    <r>
      <rPr>
        <i val="true"/>
        <sz val="9"/>
        <color rgb="FF475569"/>
        <rFont val="Arial"/>
        <family val="0"/>
        <charset val="1"/>
      </rPr>
      <t xml:space="preserve">Contact </t>
    </r>
    <r>
      <rPr>
        <i val="true"/>
        <sz val="9"/>
        <color rgb="FF475569"/>
        <rFont val="DejaVu Sans"/>
        <family val="2"/>
      </rPr>
      <t xml:space="preserve">폼 → 이메일 도달</t>
    </r>
  </si>
  <si>
    <t xml:space="preserve">Summary</t>
  </si>
  <si>
    <t xml:space="preserve">Total Tasks</t>
  </si>
  <si>
    <t xml:space="preserve">완료</t>
  </si>
  <si>
    <t xml:space="preserve">완료율</t>
  </si>
  <si>
    <r>
      <rPr>
        <b val="true"/>
        <sz val="14"/>
        <color rgb="FFFFFFFF"/>
        <rFont val="Arial"/>
        <family val="0"/>
        <charset val="1"/>
      </rPr>
      <t xml:space="preserve">POTAL — </t>
    </r>
    <r>
      <rPr>
        <b val="true"/>
        <sz val="14"/>
        <color rgb="FFFFFFFF"/>
        <rFont val="DejaVu Sans"/>
        <family val="2"/>
      </rPr>
      <t xml:space="preserve">이미 완료된 항목 </t>
    </r>
    <r>
      <rPr>
        <b val="true"/>
        <sz val="14"/>
        <color rgb="FFFFFFFF"/>
        <rFont val="Arial"/>
        <family val="0"/>
        <charset val="1"/>
      </rPr>
      <t xml:space="preserve">(107+)</t>
    </r>
  </si>
  <si>
    <t xml:space="preserve">Category</t>
  </si>
  <si>
    <t xml:space="preserve">Item</t>
  </si>
  <si>
    <t xml:space="preserve">Session</t>
  </si>
  <si>
    <t xml:space="preserve">Core API</t>
  </si>
  <si>
    <r>
      <rPr>
        <sz val="9"/>
        <color rgb="FF1E293B"/>
        <rFont val="Arial"/>
        <family val="0"/>
        <charset val="1"/>
      </rPr>
      <t xml:space="preserve">TLC </t>
    </r>
    <r>
      <rPr>
        <sz val="9"/>
        <color rgb="FF1E293B"/>
        <rFont val="DejaVu Sans"/>
        <family val="2"/>
      </rPr>
      <t xml:space="preserve">계산 엔진 </t>
    </r>
    <r>
      <rPr>
        <sz val="9"/>
        <color rgb="FF1E293B"/>
        <rFont val="Arial"/>
        <family val="0"/>
        <charset val="1"/>
      </rPr>
      <t xml:space="preserve">(GlobalCostEngine) — 240</t>
    </r>
    <r>
      <rPr>
        <sz val="9"/>
        <color rgb="FF1E293B"/>
        <rFont val="DejaVu Sans"/>
        <family val="2"/>
      </rPr>
      <t xml:space="preserve">개국</t>
    </r>
    <r>
      <rPr>
        <sz val="9"/>
        <color rgb="FF1E293B"/>
        <rFont val="Arial"/>
        <family val="0"/>
        <charset val="1"/>
      </rPr>
      <t xml:space="preserve">, 12</t>
    </r>
    <r>
      <rPr>
        <sz val="9"/>
        <color rgb="FF1E293B"/>
        <rFont val="DejaVu Sans"/>
        <family val="2"/>
      </rPr>
      <t xml:space="preserve">개국 특수세금</t>
    </r>
  </si>
  <si>
    <t xml:space="preserve">S25-27</t>
  </si>
  <si>
    <r>
      <rPr>
        <sz val="9"/>
        <color rgb="FF1E293B"/>
        <rFont val="DejaVu Sans"/>
        <family val="2"/>
      </rPr>
      <t xml:space="preserve">단건 계산 </t>
    </r>
    <r>
      <rPr>
        <sz val="9"/>
        <color rgb="FF1E293B"/>
        <rFont val="Arial"/>
        <family val="0"/>
        <charset val="1"/>
      </rPr>
      <t xml:space="preserve">/api/v1/calculate</t>
    </r>
  </si>
  <si>
    <t xml:space="preserve">S14</t>
  </si>
  <si>
    <r>
      <rPr>
        <sz val="9"/>
        <color rgb="FF1E293B"/>
        <rFont val="DejaVu Sans"/>
        <family val="2"/>
      </rPr>
      <t xml:space="preserve">배치 계산 </t>
    </r>
    <r>
      <rPr>
        <sz val="9"/>
        <color rgb="FF1E293B"/>
        <rFont val="Arial"/>
        <family val="0"/>
        <charset val="1"/>
      </rPr>
      <t xml:space="preserve">/api/v1/calculate/batch (</t>
    </r>
    <r>
      <rPr>
        <sz val="9"/>
        <color rgb="FF1E293B"/>
        <rFont val="DejaVu Sans"/>
        <family val="2"/>
      </rPr>
      <t xml:space="preserve">최대 </t>
    </r>
    <r>
      <rPr>
        <sz val="9"/>
        <color rgb="FF1E293B"/>
        <rFont val="Arial"/>
        <family val="0"/>
        <charset val="1"/>
      </rPr>
      <t xml:space="preserve">100</t>
    </r>
    <r>
      <rPr>
        <sz val="9"/>
        <color rgb="FF1E293B"/>
        <rFont val="DejaVu Sans"/>
        <family val="2"/>
      </rPr>
      <t xml:space="preserve">건</t>
    </r>
    <r>
      <rPr>
        <sz val="9"/>
        <color rgb="FF1E293B"/>
        <rFont val="Arial"/>
        <family val="0"/>
        <charset val="1"/>
      </rPr>
      <t xml:space="preserve">)</t>
    </r>
  </si>
  <si>
    <t xml:space="preserve">S18</t>
  </si>
  <si>
    <r>
      <rPr>
        <sz val="9"/>
        <color rgb="FF1E293B"/>
        <rFont val="DejaVu Sans"/>
        <family val="2"/>
      </rPr>
      <t xml:space="preserve">국가 목록 </t>
    </r>
    <r>
      <rPr>
        <sz val="9"/>
        <color rgb="FF1E293B"/>
        <rFont val="Arial"/>
        <family val="0"/>
        <charset val="1"/>
      </rPr>
      <t xml:space="preserve">/api/v1/countries (240</t>
    </r>
    <r>
      <rPr>
        <sz val="9"/>
        <color rgb="FF1E293B"/>
        <rFont val="DejaVu Sans"/>
        <family val="2"/>
      </rPr>
      <t xml:space="preserve">개국</t>
    </r>
    <r>
      <rPr>
        <sz val="9"/>
        <color rgb="FF1E293B"/>
        <rFont val="Arial"/>
        <family val="0"/>
        <charset val="1"/>
      </rPr>
      <t xml:space="preserve">, 7</t>
    </r>
    <r>
      <rPr>
        <sz val="9"/>
        <color rgb="FF1E293B"/>
        <rFont val="DejaVu Sans"/>
        <family val="2"/>
      </rPr>
      <t xml:space="preserve">개 언어</t>
    </r>
    <r>
      <rPr>
        <sz val="9"/>
        <color rgb="FF1E293B"/>
        <rFont val="Arial"/>
        <family val="0"/>
        <charset val="1"/>
      </rPr>
      <t xml:space="preserve">)</t>
    </r>
  </si>
  <si>
    <t xml:space="preserve">S27</t>
  </si>
  <si>
    <r>
      <rPr>
        <sz val="9"/>
        <color rgb="FF1E293B"/>
        <rFont val="Arial"/>
        <family val="0"/>
        <charset val="1"/>
      </rPr>
      <t xml:space="preserve">API </t>
    </r>
    <r>
      <rPr>
        <sz val="9"/>
        <color rgb="FF1E293B"/>
        <rFont val="DejaVu Sans"/>
        <family val="2"/>
      </rPr>
      <t xml:space="preserve">키 관리 </t>
    </r>
    <r>
      <rPr>
        <sz val="9"/>
        <color rgb="FF1E293B"/>
        <rFont val="Arial"/>
        <family val="0"/>
        <charset val="1"/>
      </rPr>
      <t xml:space="preserve">CRUD /api/v1/sellers/keys</t>
    </r>
  </si>
  <si>
    <t xml:space="preserve">S15</t>
  </si>
  <si>
    <r>
      <rPr>
        <sz val="9"/>
        <color rgb="FF1E293B"/>
        <rFont val="DejaVu Sans"/>
        <family val="2"/>
      </rPr>
      <t xml:space="preserve">사용량 조회 </t>
    </r>
    <r>
      <rPr>
        <sz val="9"/>
        <color rgb="FF1E293B"/>
        <rFont val="Arial"/>
        <family val="0"/>
        <charset val="1"/>
      </rPr>
      <t xml:space="preserve">/api/v1/sellers/usage</t>
    </r>
  </si>
  <si>
    <t xml:space="preserve">S16</t>
  </si>
  <si>
    <r>
      <rPr>
        <sz val="9"/>
        <color rgb="FF1E293B"/>
        <rFont val="DejaVu Sans"/>
        <family val="2"/>
      </rPr>
      <t xml:space="preserve">분석 </t>
    </r>
    <r>
      <rPr>
        <sz val="9"/>
        <color rgb="FF1E293B"/>
        <rFont val="Arial"/>
        <family val="0"/>
        <charset val="1"/>
      </rPr>
      <t xml:space="preserve">API /api/v1/sellers/analytics</t>
    </r>
  </si>
  <si>
    <r>
      <rPr>
        <sz val="9"/>
        <color rgb="FF1E293B"/>
        <rFont val="Arial"/>
        <family val="0"/>
        <charset val="1"/>
      </rPr>
      <t xml:space="preserve">OpenAPI 3.0 </t>
    </r>
    <r>
      <rPr>
        <sz val="9"/>
        <color rgb="FF1E293B"/>
        <rFont val="DejaVu Sans"/>
        <family val="2"/>
      </rPr>
      <t xml:space="preserve">스펙 </t>
    </r>
    <r>
      <rPr>
        <sz val="9"/>
        <color rgb="FF1E293B"/>
        <rFont val="Arial"/>
        <family val="0"/>
        <charset val="1"/>
      </rPr>
      <t xml:space="preserve">/api/v1/docs</t>
    </r>
  </si>
  <si>
    <t xml:space="preserve">S24</t>
  </si>
  <si>
    <t xml:space="preserve">HS Code</t>
  </si>
  <si>
    <r>
      <rPr>
        <sz val="9"/>
        <color rgb="FF1E293B"/>
        <rFont val="Arial"/>
        <family val="0"/>
        <charset val="1"/>
      </rPr>
      <t xml:space="preserve">HS Code DB 5,371</t>
    </r>
    <r>
      <rPr>
        <sz val="9"/>
        <color rgb="FF1E293B"/>
        <rFont val="DejaVu Sans"/>
        <family val="2"/>
      </rPr>
      <t xml:space="preserve">개 </t>
    </r>
    <r>
      <rPr>
        <sz val="9"/>
        <color rgb="FF1E293B"/>
        <rFont val="Arial"/>
        <family val="0"/>
        <charset val="1"/>
      </rPr>
      <t xml:space="preserve">(WCO HS 2022 6</t>
    </r>
    <r>
      <rPr>
        <sz val="9"/>
        <color rgb="FF1E293B"/>
        <rFont val="DejaVu Sans"/>
        <family val="2"/>
      </rPr>
      <t xml:space="preserve">자리</t>
    </r>
    <r>
      <rPr>
        <sz val="9"/>
        <color rgb="FF1E293B"/>
        <rFont val="Arial"/>
        <family val="0"/>
        <charset val="1"/>
      </rPr>
      <t xml:space="preserve">)</t>
    </r>
  </si>
  <si>
    <t xml:space="preserve">S29</t>
  </si>
  <si>
    <r>
      <rPr>
        <sz val="9"/>
        <color rgb="FF1E293B"/>
        <rFont val="Arial"/>
        <family val="0"/>
        <charset val="1"/>
      </rPr>
      <t xml:space="preserve">AI HS </t>
    </r>
    <r>
      <rPr>
        <sz val="9"/>
        <color rgb="FF1E293B"/>
        <rFont val="DejaVu Sans"/>
        <family val="2"/>
      </rPr>
      <t xml:space="preserve">분류 </t>
    </r>
    <r>
      <rPr>
        <sz val="9"/>
        <color rgb="FF1E293B"/>
        <rFont val="Arial"/>
        <family val="0"/>
        <charset val="1"/>
      </rPr>
      <t xml:space="preserve">(GPT-4o-mini + DB</t>
    </r>
    <r>
      <rPr>
        <sz val="9"/>
        <color rgb="FF1E293B"/>
        <rFont val="DejaVu Sans"/>
        <family val="2"/>
      </rPr>
      <t xml:space="preserve">캐시 </t>
    </r>
    <r>
      <rPr>
        <sz val="9"/>
        <color rgb="FF1E293B"/>
        <rFont val="Arial"/>
        <family val="0"/>
        <charset val="1"/>
      </rPr>
      <t xml:space="preserve">+ </t>
    </r>
    <r>
      <rPr>
        <sz val="9"/>
        <color rgb="FF1E293B"/>
        <rFont val="DejaVu Sans"/>
        <family val="2"/>
      </rPr>
      <t xml:space="preserve">키워드</t>
    </r>
    <r>
      <rPr>
        <sz val="9"/>
        <color rgb="FF1E293B"/>
        <rFont val="Arial"/>
        <family val="0"/>
        <charset val="1"/>
      </rPr>
      <t xml:space="preserve">)</t>
    </r>
  </si>
  <si>
    <t xml:space="preserve">S17</t>
  </si>
  <si>
    <r>
      <rPr>
        <sz val="9"/>
        <color rgb="FF1E293B"/>
        <rFont val="DejaVu Sans"/>
        <family val="2"/>
      </rPr>
      <t xml:space="preserve">이미지 기반 </t>
    </r>
    <r>
      <rPr>
        <sz val="9"/>
        <color rgb="FF1E293B"/>
        <rFont val="Arial"/>
        <family val="0"/>
        <charset val="1"/>
      </rPr>
      <t xml:space="preserve">HS </t>
    </r>
    <r>
      <rPr>
        <sz val="9"/>
        <color rgb="FF1E293B"/>
        <rFont val="DejaVu Sans"/>
        <family val="2"/>
      </rPr>
      <t xml:space="preserve">분류 </t>
    </r>
    <r>
      <rPr>
        <sz val="9"/>
        <color rgb="FF1E293B"/>
        <rFont val="Arial"/>
        <family val="0"/>
        <charset val="1"/>
      </rPr>
      <t xml:space="preserve">(Vision API)</t>
    </r>
  </si>
  <si>
    <t xml:space="preserve">S34</t>
  </si>
  <si>
    <t xml:space="preserve">관세 데이터</t>
  </si>
  <si>
    <r>
      <rPr>
        <sz val="9"/>
        <color rgb="FF1E293B"/>
        <rFont val="Arial"/>
        <family val="0"/>
        <charset val="1"/>
      </rPr>
      <t xml:space="preserve">WITS+WTO MFN 1,027,674</t>
    </r>
    <r>
      <rPr>
        <sz val="9"/>
        <color rgb="FF1E293B"/>
        <rFont val="DejaVu Sans"/>
        <family val="2"/>
      </rPr>
      <t xml:space="preserve">건 </t>
    </r>
    <r>
      <rPr>
        <sz val="9"/>
        <color rgb="FF1E293B"/>
        <rFont val="Arial"/>
        <family val="0"/>
        <charset val="1"/>
      </rPr>
      <t xml:space="preserve">186</t>
    </r>
    <r>
      <rPr>
        <sz val="9"/>
        <color rgb="FF1E293B"/>
        <rFont val="DejaVu Sans"/>
        <family val="2"/>
      </rPr>
      <t xml:space="preserve">개국</t>
    </r>
  </si>
  <si>
    <r>
      <rPr>
        <sz val="9"/>
        <color rgb="FF1E293B"/>
        <rFont val="Arial"/>
        <family val="0"/>
        <charset val="1"/>
      </rPr>
      <t xml:space="preserve">MacMap NTLC 537,894</t>
    </r>
    <r>
      <rPr>
        <sz val="9"/>
        <color rgb="FF1E293B"/>
        <rFont val="DejaVu Sans"/>
        <family val="2"/>
      </rPr>
      <t xml:space="preserve">건 </t>
    </r>
    <r>
      <rPr>
        <sz val="9"/>
        <color rgb="FF1E293B"/>
        <rFont val="Arial"/>
        <family val="0"/>
        <charset val="1"/>
      </rPr>
      <t xml:space="preserve">53</t>
    </r>
    <r>
      <rPr>
        <sz val="9"/>
        <color rgb="FF1E293B"/>
        <rFont val="DejaVu Sans"/>
        <family val="2"/>
      </rPr>
      <t xml:space="preserve">개국</t>
    </r>
  </si>
  <si>
    <t xml:space="preserve">S32</t>
  </si>
  <si>
    <r>
      <rPr>
        <sz val="9"/>
        <color rgb="FF1E293B"/>
        <rFont val="Arial"/>
        <family val="0"/>
        <charset val="1"/>
      </rPr>
      <t xml:space="preserve">MacMap MIN ~92.3M</t>
    </r>
    <r>
      <rPr>
        <sz val="9"/>
        <color rgb="FF1E293B"/>
        <rFont val="DejaVu Sans"/>
        <family val="2"/>
      </rPr>
      <t xml:space="preserve">행 </t>
    </r>
    <r>
      <rPr>
        <sz val="9"/>
        <color rgb="FF1E293B"/>
        <rFont val="Arial"/>
        <family val="0"/>
        <charset val="1"/>
      </rPr>
      <t xml:space="preserve">44</t>
    </r>
    <r>
      <rPr>
        <sz val="9"/>
        <color rgb="FF1E293B"/>
        <rFont val="DejaVu Sans"/>
        <family val="2"/>
      </rPr>
      <t xml:space="preserve">개국 </t>
    </r>
    <r>
      <rPr>
        <sz val="9"/>
        <color rgb="FF1E293B"/>
        <rFont val="Arial"/>
        <family val="0"/>
        <charset val="1"/>
      </rPr>
      <t xml:space="preserve">(9</t>
    </r>
    <r>
      <rPr>
        <sz val="9"/>
        <color rgb="FF1E293B"/>
        <rFont val="DejaVu Sans"/>
        <family val="2"/>
      </rPr>
      <t xml:space="preserve">개국 진행중</t>
    </r>
    <r>
      <rPr>
        <sz val="9"/>
        <color rgb="FF1E293B"/>
        <rFont val="Arial"/>
        <family val="0"/>
        <charset val="1"/>
      </rPr>
      <t xml:space="preserve">)</t>
    </r>
  </si>
  <si>
    <t xml:space="preserve">S32-37</t>
  </si>
  <si>
    <r>
      <rPr>
        <sz val="9"/>
        <color rgb="FF1E293B"/>
        <rFont val="DejaVu Sans"/>
        <family val="2"/>
      </rPr>
      <t xml:space="preserve">무역협정 </t>
    </r>
    <r>
      <rPr>
        <sz val="9"/>
        <color rgb="FF1E293B"/>
        <rFont val="Arial"/>
        <family val="0"/>
        <charset val="1"/>
      </rPr>
      <t xml:space="preserve">1,319</t>
    </r>
    <r>
      <rPr>
        <sz val="9"/>
        <color rgb="FF1E293B"/>
        <rFont val="DejaVu Sans"/>
        <family val="2"/>
      </rPr>
      <t xml:space="preserve">건 </t>
    </r>
    <r>
      <rPr>
        <sz val="9"/>
        <color rgb="FF1E293B"/>
        <rFont val="Arial"/>
        <family val="0"/>
        <charset val="1"/>
      </rPr>
      <t xml:space="preserve">(macmap_trade_agreements)</t>
    </r>
  </si>
  <si>
    <r>
      <rPr>
        <sz val="9"/>
        <color rgb="FF1E293B"/>
        <rFont val="DejaVu Sans"/>
        <family val="2"/>
      </rPr>
      <t xml:space="preserve">반덤핑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상계관세</t>
    </r>
    <r>
      <rPr>
        <sz val="9"/>
        <color rgb="FF1E293B"/>
        <rFont val="Arial"/>
        <family val="0"/>
        <charset val="1"/>
      </rPr>
      <t xml:space="preserve">/</t>
    </r>
    <r>
      <rPr>
        <sz val="9"/>
        <color rgb="FF1E293B"/>
        <rFont val="DejaVu Sans"/>
        <family val="2"/>
      </rPr>
      <t xml:space="preserve">세이프가드 </t>
    </r>
    <r>
      <rPr>
        <sz val="9"/>
        <color rgb="FF1E293B"/>
        <rFont val="Arial"/>
        <family val="0"/>
        <charset val="1"/>
      </rPr>
      <t xml:space="preserve">119,706</t>
    </r>
    <r>
      <rPr>
        <sz val="9"/>
        <color rgb="FF1E293B"/>
        <rFont val="DejaVu Sans"/>
        <family val="2"/>
      </rPr>
      <t xml:space="preserve">건</t>
    </r>
  </si>
  <si>
    <t xml:space="preserve">S33</t>
  </si>
  <si>
    <r>
      <rPr>
        <sz val="9"/>
        <color rgb="FF1E293B"/>
        <rFont val="DejaVu Sans"/>
        <family val="2"/>
      </rPr>
      <t xml:space="preserve">정부 </t>
    </r>
    <r>
      <rPr>
        <sz val="9"/>
        <color rgb="FF1E293B"/>
        <rFont val="Arial"/>
        <family val="0"/>
        <charset val="1"/>
      </rPr>
      <t xml:space="preserve">API</t>
    </r>
  </si>
  <si>
    <r>
      <rPr>
        <sz val="9"/>
        <color rgb="FF1E293B"/>
        <rFont val="Arial"/>
        <family val="0"/>
        <charset val="1"/>
      </rPr>
      <t xml:space="preserve">7</t>
    </r>
    <r>
      <rPr>
        <sz val="9"/>
        <color rgb="FF1E293B"/>
        <rFont val="DejaVu Sans"/>
        <family val="2"/>
      </rPr>
      <t xml:space="preserve">개 정부 관세 </t>
    </r>
    <r>
      <rPr>
        <sz val="9"/>
        <color rgb="FF1E293B"/>
        <rFont val="Arial"/>
        <family val="0"/>
        <charset val="1"/>
      </rPr>
      <t xml:space="preserve">API (USITC/UK/EU/CA/AU/JP/KR)</t>
    </r>
  </si>
  <si>
    <t xml:space="preserve">S25</t>
  </si>
  <si>
    <r>
      <rPr>
        <sz val="9"/>
        <color rgb="FF1E293B"/>
        <rFont val="DejaVu Sans"/>
        <family val="2"/>
      </rPr>
      <t xml:space="preserve">환율 </t>
    </r>
    <r>
      <rPr>
        <sz val="9"/>
        <color rgb="FF1E293B"/>
        <rFont val="Arial"/>
        <family val="0"/>
        <charset val="1"/>
      </rPr>
      <t xml:space="preserve">API </t>
    </r>
    <r>
      <rPr>
        <sz val="9"/>
        <color rgb="FF1E293B"/>
        <rFont val="DejaVu Sans"/>
        <family val="2"/>
      </rPr>
      <t xml:space="preserve">이중 폴백 </t>
    </r>
    <r>
      <rPr>
        <sz val="9"/>
        <color rgb="FF1E293B"/>
        <rFont val="Arial"/>
        <family val="0"/>
        <charset val="1"/>
      </rPr>
      <t xml:space="preserve">(ExchangeRate + Fawaz CDN)</t>
    </r>
  </si>
  <si>
    <r>
      <rPr>
        <sz val="9"/>
        <color rgb="FF1E293B"/>
        <rFont val="Arial"/>
        <family val="0"/>
        <charset val="1"/>
      </rPr>
      <t xml:space="preserve">Paddle Live </t>
    </r>
    <r>
      <rPr>
        <sz val="9"/>
        <color rgb="FF1E293B"/>
        <rFont val="DejaVu Sans"/>
        <family val="2"/>
      </rPr>
      <t xml:space="preserve">전환 완료 </t>
    </r>
    <r>
      <rPr>
        <sz val="9"/>
        <color rgb="FF1E293B"/>
        <rFont val="Arial"/>
        <family val="0"/>
        <charset val="1"/>
      </rPr>
      <t xml:space="preserve">(6 Price IDs)</t>
    </r>
  </si>
  <si>
    <t xml:space="preserve">S37</t>
  </si>
  <si>
    <r>
      <rPr>
        <sz val="9"/>
        <color rgb="FF1E293B"/>
        <rFont val="Arial"/>
        <family val="0"/>
        <charset val="1"/>
      </rPr>
      <t xml:space="preserve">Paddle Webhook HMAC </t>
    </r>
    <r>
      <rPr>
        <sz val="9"/>
        <color rgb="FF1E293B"/>
        <rFont val="DejaVu Sans"/>
        <family val="2"/>
      </rPr>
      <t xml:space="preserve">검증</t>
    </r>
  </si>
  <si>
    <t xml:space="preserve">Overage billing (plan-checker + middleware + cron)</t>
  </si>
  <si>
    <r>
      <rPr>
        <sz val="9"/>
        <color rgb="FF1E293B"/>
        <rFont val="Arial"/>
        <family val="0"/>
        <charset val="1"/>
      </rPr>
      <t xml:space="preserve">Annual </t>
    </r>
    <r>
      <rPr>
        <sz val="9"/>
        <color rgb="FF1E293B"/>
        <rFont val="DejaVu Sans"/>
        <family val="2"/>
      </rPr>
      <t xml:space="preserve">요금제 </t>
    </r>
    <r>
      <rPr>
        <sz val="9"/>
        <color rgb="FF1E293B"/>
        <rFont val="Arial"/>
        <family val="0"/>
        <charset val="1"/>
      </rPr>
      <t xml:space="preserve">20% </t>
    </r>
    <r>
      <rPr>
        <sz val="9"/>
        <color rgb="FF1E293B"/>
        <rFont val="DejaVu Sans"/>
        <family val="2"/>
      </rPr>
      <t xml:space="preserve">할인 </t>
    </r>
    <r>
      <rPr>
        <sz val="9"/>
        <color rgb="FF1E293B"/>
        <rFont val="Arial"/>
        <family val="0"/>
        <charset val="1"/>
      </rPr>
      <t xml:space="preserve">(</t>
    </r>
    <r>
      <rPr>
        <sz val="9"/>
        <color rgb="FF1E293B"/>
        <rFont val="DejaVu Sans"/>
        <family val="2"/>
      </rPr>
      <t xml:space="preserve">전 플랜</t>
    </r>
    <r>
      <rPr>
        <sz val="9"/>
        <color rgb="FF1E293B"/>
        <rFont val="Arial"/>
        <family val="0"/>
        <charset val="1"/>
      </rPr>
      <t xml:space="preserve">)</t>
    </r>
  </si>
  <si>
    <r>
      <rPr>
        <sz val="9"/>
        <color rgb="FF1E293B"/>
        <rFont val="DejaVu Sans"/>
        <family val="2"/>
      </rPr>
      <t xml:space="preserve">구 결제</t>
    </r>
    <r>
      <rPr>
        <sz val="9"/>
        <color rgb="FF1E293B"/>
        <rFont val="Arial"/>
        <family val="0"/>
        <charset val="1"/>
      </rPr>
      <t xml:space="preserve">(Stripe/LS) → Paddle </t>
    </r>
    <r>
      <rPr>
        <sz val="9"/>
        <color rgb="FF1E293B"/>
        <rFont val="DejaVu Sans"/>
        <family val="2"/>
      </rPr>
      <t xml:space="preserve">전환 완료</t>
    </r>
  </si>
  <si>
    <t xml:space="preserve">S36-37</t>
  </si>
  <si>
    <r>
      <rPr>
        <sz val="9"/>
        <color rgb="FF1E293B"/>
        <rFont val="Arial"/>
        <family val="0"/>
        <charset val="1"/>
      </rPr>
      <t xml:space="preserve">OAuth + HMAC + </t>
    </r>
    <r>
      <rPr>
        <sz val="9"/>
        <color rgb="FF1E293B"/>
        <rFont val="DejaVu Sans"/>
        <family val="2"/>
      </rPr>
      <t xml:space="preserve">토큰 관리</t>
    </r>
  </si>
  <si>
    <t xml:space="preserve">S18-21</t>
  </si>
  <si>
    <r>
      <rPr>
        <sz val="9"/>
        <color rgb="FF1E293B"/>
        <rFont val="Arial"/>
        <family val="0"/>
        <charset val="1"/>
      </rPr>
      <t xml:space="preserve">Theme App Extension (3</t>
    </r>
    <r>
      <rPr>
        <sz val="9"/>
        <color rgb="FF1E293B"/>
        <rFont val="DejaVu Sans"/>
        <family val="2"/>
      </rPr>
      <t xml:space="preserve">개 블록</t>
    </r>
    <r>
      <rPr>
        <sz val="9"/>
        <color rgb="FF1E293B"/>
        <rFont val="Arial"/>
        <family val="0"/>
        <charset val="1"/>
      </rPr>
      <t xml:space="preserve">)</t>
    </r>
  </si>
  <si>
    <t xml:space="preserve">S21</t>
  </si>
  <si>
    <r>
      <rPr>
        <sz val="9"/>
        <color rgb="FF1E293B"/>
        <rFont val="Arial"/>
        <family val="0"/>
        <charset val="1"/>
      </rPr>
      <t xml:space="preserve">App Store </t>
    </r>
    <r>
      <rPr>
        <sz val="9"/>
        <color rgb="FF1E293B"/>
        <rFont val="DejaVu Sans"/>
        <family val="2"/>
      </rPr>
      <t xml:space="preserve">등록 </t>
    </r>
    <r>
      <rPr>
        <sz val="9"/>
        <color rgb="FF1E293B"/>
        <rFont val="Arial"/>
        <family val="0"/>
        <charset val="1"/>
      </rPr>
      <t xml:space="preserve">$19 </t>
    </r>
    <r>
      <rPr>
        <sz val="9"/>
        <color rgb="FF1E293B"/>
        <rFont val="DejaVu Sans"/>
        <family val="2"/>
      </rPr>
      <t xml:space="preserve">결제 </t>
    </r>
    <r>
      <rPr>
        <sz val="9"/>
        <color rgb="FF1E293B"/>
        <rFont val="Arial"/>
        <family val="0"/>
        <charset val="1"/>
      </rPr>
      <t xml:space="preserve">+ </t>
    </r>
    <r>
      <rPr>
        <sz val="9"/>
        <color rgb="FF1E293B"/>
        <rFont val="DejaVu Sans"/>
        <family val="2"/>
      </rPr>
      <t xml:space="preserve">리스팅 작성</t>
    </r>
  </si>
  <si>
    <r>
      <rPr>
        <sz val="9"/>
        <color rgb="FF1E293B"/>
        <rFont val="Arial"/>
        <family val="0"/>
        <charset val="1"/>
      </rPr>
      <t xml:space="preserve">App Bridge 4.x CDN + </t>
    </r>
    <r>
      <rPr>
        <sz val="9"/>
        <color rgb="FF1E293B"/>
        <rFont val="DejaVu Sans"/>
        <family val="2"/>
      </rPr>
      <t xml:space="preserve">세션 토큰</t>
    </r>
  </si>
  <si>
    <t xml:space="preserve">S26</t>
  </si>
  <si>
    <t xml:space="preserve">UI/UX</t>
  </si>
  <si>
    <r>
      <rPr>
        <sz val="9"/>
        <color rgb="FF1E293B"/>
        <rFont val="DejaVu Sans"/>
        <family val="2"/>
      </rPr>
      <t xml:space="preserve">랜딩 페이지 </t>
    </r>
    <r>
      <rPr>
        <sz val="9"/>
        <color rgb="FF1E293B"/>
        <rFont val="Arial"/>
        <family val="0"/>
        <charset val="1"/>
      </rPr>
      <t xml:space="preserve">B2B </t>
    </r>
    <r>
      <rPr>
        <sz val="9"/>
        <color rgb="FF1E293B"/>
        <rFont val="DejaVu Sans"/>
        <family val="2"/>
      </rPr>
      <t xml:space="preserve">전환</t>
    </r>
  </si>
  <si>
    <t xml:space="preserve">S22</t>
  </si>
  <si>
    <r>
      <rPr>
        <sz val="9"/>
        <color rgb="FF1E293B"/>
        <rFont val="Arial"/>
        <family val="0"/>
        <charset val="1"/>
      </rPr>
      <t xml:space="preserve">Pricing </t>
    </r>
    <r>
      <rPr>
        <sz val="9"/>
        <color rgb="FF1E293B"/>
        <rFont val="DejaVu Sans"/>
        <family val="2"/>
      </rPr>
      <t xml:space="preserve">페이지 </t>
    </r>
    <r>
      <rPr>
        <sz val="9"/>
        <color rgb="FF1E293B"/>
        <rFont val="Arial"/>
        <family val="0"/>
        <charset val="1"/>
      </rPr>
      <t xml:space="preserve">(4 </t>
    </r>
    <r>
      <rPr>
        <sz val="9"/>
        <color rgb="FF1E293B"/>
        <rFont val="DejaVu Sans"/>
        <family val="2"/>
      </rPr>
      <t xml:space="preserve">플랜 </t>
    </r>
    <r>
      <rPr>
        <sz val="9"/>
        <color rgb="FF1E293B"/>
        <rFont val="Arial"/>
        <family val="0"/>
        <charset val="1"/>
      </rPr>
      <t xml:space="preserve">+ Annual </t>
    </r>
    <r>
      <rPr>
        <sz val="9"/>
        <color rgb="FF1E293B"/>
        <rFont val="DejaVu Sans"/>
        <family val="2"/>
      </rPr>
      <t xml:space="preserve">토글</t>
    </r>
    <r>
      <rPr>
        <sz val="9"/>
        <color rgb="FF1E293B"/>
        <rFont val="Arial"/>
        <family val="0"/>
        <charset val="1"/>
      </rPr>
      <t xml:space="preserve">)</t>
    </r>
  </si>
  <si>
    <t xml:space="preserve">Dashboard (Overview/Keys/Widget/Usage/Billing)</t>
  </si>
  <si>
    <r>
      <rPr>
        <sz val="9"/>
        <color rgb="FF1E293B"/>
        <rFont val="Arial"/>
        <family val="0"/>
        <charset val="1"/>
      </rPr>
      <t xml:space="preserve">API Docs </t>
    </r>
    <r>
      <rPr>
        <sz val="9"/>
        <color rgb="FF1E293B"/>
        <rFont val="DejaVu Sans"/>
        <family val="2"/>
      </rPr>
      <t xml:space="preserve">인터랙티브 </t>
    </r>
    <r>
      <rPr>
        <sz val="9"/>
        <color rgb="FF1E293B"/>
        <rFont val="Arial"/>
        <family val="0"/>
        <charset val="1"/>
      </rPr>
      <t xml:space="preserve">(6 </t>
    </r>
    <r>
      <rPr>
        <sz val="9"/>
        <color rgb="FF1E293B"/>
        <rFont val="DejaVu Sans"/>
        <family val="2"/>
      </rPr>
      <t xml:space="preserve">엔드포인트 </t>
    </r>
    <r>
      <rPr>
        <sz val="9"/>
        <color rgb="FF1E293B"/>
        <rFont val="Arial"/>
        <family val="0"/>
        <charset val="1"/>
      </rPr>
      <t xml:space="preserve">Try it)</t>
    </r>
  </si>
  <si>
    <r>
      <rPr>
        <sz val="9"/>
        <color rgb="FF1E293B"/>
        <rFont val="Arial"/>
        <family val="0"/>
        <charset val="1"/>
      </rPr>
      <t xml:space="preserve">30</t>
    </r>
    <r>
      <rPr>
        <sz val="9"/>
        <color rgb="FF1E293B"/>
        <rFont val="DejaVu Sans"/>
        <family val="2"/>
      </rPr>
      <t xml:space="preserve">개국어 </t>
    </r>
    <r>
      <rPr>
        <sz val="9"/>
        <color rgb="FF1E293B"/>
        <rFont val="Arial"/>
        <family val="0"/>
        <charset val="1"/>
      </rPr>
      <t xml:space="preserve">i18n</t>
    </r>
  </si>
  <si>
    <r>
      <rPr>
        <sz val="9"/>
        <color rgb="FF1E293B"/>
        <rFont val="Arial"/>
        <family val="0"/>
        <charset val="1"/>
      </rPr>
      <t xml:space="preserve">URL </t>
    </r>
    <r>
      <rPr>
        <sz val="9"/>
        <color rgb="FF1E293B"/>
        <rFont val="DejaVu Sans"/>
        <family val="2"/>
      </rPr>
      <t xml:space="preserve">전체 정리 </t>
    </r>
    <r>
      <rPr>
        <sz val="9"/>
        <color rgb="FF1E293B"/>
        <rFont val="Arial"/>
        <family val="0"/>
        <charset val="1"/>
      </rPr>
      <t xml:space="preserve">(potal-x1vl → www.potal.app)</t>
    </r>
  </si>
  <si>
    <t xml:space="preserve">CW5</t>
  </si>
  <si>
    <r>
      <rPr>
        <sz val="9"/>
        <color rgb="FF1E293B"/>
        <rFont val="Arial"/>
        <family val="0"/>
        <charset val="1"/>
      </rPr>
      <t xml:space="preserve">181→240</t>
    </r>
    <r>
      <rPr>
        <sz val="9"/>
        <color rgb="FF1E293B"/>
        <rFont val="DejaVu Sans"/>
        <family val="2"/>
      </rPr>
      <t xml:space="preserve">개국 텍스트 전체 업데이트</t>
    </r>
  </si>
  <si>
    <r>
      <rPr>
        <sz val="9"/>
        <color rgb="FF1E293B"/>
        <rFont val="DejaVu Sans"/>
        <family val="2"/>
      </rPr>
      <t xml:space="preserve">구 요금제 잔재 전면 정리 </t>
    </r>
    <r>
      <rPr>
        <sz val="9"/>
        <color rgb="FF1E293B"/>
        <rFont val="Arial"/>
        <family val="0"/>
        <charset val="1"/>
      </rPr>
      <t xml:space="preserve">(6+ </t>
    </r>
    <r>
      <rPr>
        <sz val="9"/>
        <color rgb="FF1E293B"/>
        <rFont val="DejaVu Sans"/>
        <family val="2"/>
      </rPr>
      <t xml:space="preserve">파일</t>
    </r>
    <r>
      <rPr>
        <sz val="9"/>
        <color rgb="FF1E293B"/>
        <rFont val="Arial"/>
        <family val="0"/>
        <charset val="1"/>
      </rPr>
      <t xml:space="preserve">)</t>
    </r>
  </si>
  <si>
    <t xml:space="preserve">CW4</t>
  </si>
  <si>
    <t xml:space="preserve">AI Agent</t>
  </si>
  <si>
    <t xml:space="preserve">Custom GPT (Actions + Instructions)</t>
  </si>
  <si>
    <t xml:space="preserve">S26-27</t>
  </si>
  <si>
    <t xml:space="preserve">Claude MCP Server</t>
  </si>
  <si>
    <t xml:space="preserve">Gemini Gem (Instructions + CSV)</t>
  </si>
  <si>
    <t xml:space="preserve">기능</t>
  </si>
  <si>
    <r>
      <rPr>
        <sz val="9"/>
        <color rgb="FF1E293B"/>
        <rFont val="DejaVu Sans"/>
        <family val="2"/>
      </rPr>
      <t xml:space="preserve">통관서류 자동생성 </t>
    </r>
    <r>
      <rPr>
        <sz val="9"/>
        <color rgb="FF1E293B"/>
        <rFont val="Arial"/>
        <family val="0"/>
        <charset val="1"/>
      </rPr>
      <t xml:space="preserve">(Commercial Invoice + Packing List)</t>
    </r>
  </si>
  <si>
    <r>
      <rPr>
        <sz val="9"/>
        <color rgb="FF1E293B"/>
        <rFont val="DejaVu Sans"/>
        <family val="2"/>
      </rPr>
      <t xml:space="preserve">제한 물품 검사 </t>
    </r>
    <r>
      <rPr>
        <sz val="9"/>
        <color rgb="FF1E293B"/>
        <rFont val="Arial"/>
        <family val="0"/>
        <charset val="1"/>
      </rPr>
      <t xml:space="preserve">(30+ </t>
    </r>
    <r>
      <rPr>
        <sz val="9"/>
        <color rgb="FF1E293B"/>
        <rFont val="DejaVu Sans"/>
        <family val="2"/>
      </rPr>
      <t xml:space="preserve">규칙 </t>
    </r>
    <r>
      <rPr>
        <sz val="9"/>
        <color rgb="FF1E293B"/>
        <rFont val="Arial"/>
        <family val="0"/>
        <charset val="1"/>
      </rPr>
      <t xml:space="preserve">+ </t>
    </r>
    <r>
      <rPr>
        <sz val="9"/>
        <color rgb="FF1E293B"/>
        <rFont val="DejaVu Sans"/>
        <family val="2"/>
      </rPr>
      <t xml:space="preserve">국가별</t>
    </r>
    <r>
      <rPr>
        <sz val="9"/>
        <color rgb="FF1E293B"/>
        <rFont val="Arial"/>
        <family val="0"/>
        <charset val="1"/>
      </rPr>
      <t xml:space="preserve">)</t>
    </r>
  </si>
  <si>
    <r>
      <rPr>
        <sz val="9"/>
        <color rgb="FF1E293B"/>
        <rFont val="DejaVu Sans"/>
        <family val="2"/>
      </rPr>
      <t xml:space="preserve">관세 변동 알림 </t>
    </r>
    <r>
      <rPr>
        <sz val="9"/>
        <color rgb="FF1E293B"/>
        <rFont val="Arial"/>
        <family val="0"/>
        <charset val="1"/>
      </rPr>
      <t xml:space="preserve">(webhook/email)</t>
    </r>
  </si>
  <si>
    <r>
      <rPr>
        <sz val="9"/>
        <color rgb="FF1E293B"/>
        <rFont val="Arial"/>
        <family val="0"/>
        <charset val="1"/>
      </rPr>
      <t xml:space="preserve">AI </t>
    </r>
    <r>
      <rPr>
        <sz val="9"/>
        <color rgb="FF1E293B"/>
        <rFont val="DejaVu Sans"/>
        <family val="2"/>
      </rPr>
      <t xml:space="preserve">에이전트 프레임워크 </t>
    </r>
    <r>
      <rPr>
        <sz val="9"/>
        <color rgb="FF1E293B"/>
        <rFont val="Arial"/>
        <family val="0"/>
        <charset val="1"/>
      </rPr>
      <t xml:space="preserve">(6</t>
    </r>
    <r>
      <rPr>
        <sz val="9"/>
        <color rgb="FF1E293B"/>
        <rFont val="DejaVu Sans"/>
        <family val="2"/>
      </rPr>
      <t xml:space="preserve">개 </t>
    </r>
    <r>
      <rPr>
        <sz val="9"/>
        <color rgb="FF1E293B"/>
        <rFont val="Arial"/>
        <family val="0"/>
        <charset val="1"/>
      </rPr>
      <t xml:space="preserve">tool)</t>
    </r>
  </si>
  <si>
    <r>
      <rPr>
        <sz val="9"/>
        <color rgb="FF1E293B"/>
        <rFont val="DejaVu Sans"/>
        <family val="2"/>
      </rPr>
      <t xml:space="preserve">관세율 자동업데이트 </t>
    </r>
    <r>
      <rPr>
        <sz val="9"/>
        <color rgb="FF1E293B"/>
        <rFont val="Arial"/>
        <family val="0"/>
        <charset val="1"/>
      </rPr>
      <t xml:space="preserve">(Vercel Cron </t>
    </r>
    <r>
      <rPr>
        <sz val="9"/>
        <color rgb="FF1E293B"/>
        <rFont val="DejaVu Sans"/>
        <family val="2"/>
      </rPr>
      <t xml:space="preserve">매주 월</t>
    </r>
    <r>
      <rPr>
        <sz val="9"/>
        <color rgb="FF1E293B"/>
        <rFont val="Arial"/>
        <family val="0"/>
        <charset val="1"/>
      </rPr>
      <t xml:space="preserve">)</t>
    </r>
  </si>
  <si>
    <r>
      <rPr>
        <sz val="9"/>
        <color rgb="FF1E293B"/>
        <rFont val="DejaVu Sans"/>
        <family val="2"/>
      </rPr>
      <t xml:space="preserve">체크아웃 통합 </t>
    </r>
    <r>
      <rPr>
        <sz val="9"/>
        <color rgb="FF1E293B"/>
        <rFont val="Arial"/>
        <family val="0"/>
        <charset val="1"/>
      </rPr>
      <t xml:space="preserve">DDP</t>
    </r>
  </si>
  <si>
    <r>
      <rPr>
        <sz val="9"/>
        <color rgb="FF1E293B"/>
        <rFont val="Arial"/>
        <family val="0"/>
        <charset val="1"/>
      </rPr>
      <t xml:space="preserve">WooCommerce </t>
    </r>
    <r>
      <rPr>
        <sz val="9"/>
        <color rgb="FF1E293B"/>
        <rFont val="DejaVu Sans"/>
        <family val="2"/>
      </rPr>
      <t xml:space="preserve">플러그인</t>
    </r>
  </si>
  <si>
    <r>
      <rPr>
        <sz val="9"/>
        <color rgb="FF1E293B"/>
        <rFont val="Arial"/>
        <family val="0"/>
        <charset val="1"/>
      </rPr>
      <t xml:space="preserve">BigCommerce/Magento </t>
    </r>
    <r>
      <rPr>
        <sz val="9"/>
        <color rgb="FF1E293B"/>
        <rFont val="DejaVu Sans"/>
        <family val="2"/>
      </rPr>
      <t xml:space="preserve">플러그인</t>
    </r>
  </si>
  <si>
    <t xml:space="preserve">인프라</t>
  </si>
  <si>
    <r>
      <rPr>
        <sz val="9"/>
        <color rgb="FF1E293B"/>
        <rFont val="Arial"/>
        <family val="0"/>
        <charset val="1"/>
      </rPr>
      <t xml:space="preserve">Supabase Pro + 16 </t>
    </r>
    <r>
      <rPr>
        <sz val="9"/>
        <color rgb="FF1E293B"/>
        <rFont val="DejaVu Sans"/>
        <family val="2"/>
      </rPr>
      <t xml:space="preserve">마이그레이션</t>
    </r>
  </si>
  <si>
    <r>
      <rPr>
        <sz val="9"/>
        <color rgb="FF1E293B"/>
        <rFont val="Arial"/>
        <family val="0"/>
        <charset val="1"/>
      </rPr>
      <t xml:space="preserve">Vercel </t>
    </r>
    <r>
      <rPr>
        <sz val="9"/>
        <color rgb="FF1E293B"/>
        <rFont val="DejaVu Sans"/>
        <family val="2"/>
      </rPr>
      <t xml:space="preserve">배포 자동화</t>
    </r>
  </si>
  <si>
    <t xml:space="preserve">S10</t>
  </si>
  <si>
    <t xml:space="preserve">SEO (sitemap/robots/OG/JSON-LD)</t>
  </si>
  <si>
    <t xml:space="preserve">마케팅</t>
  </si>
  <si>
    <r>
      <rPr>
        <sz val="9"/>
        <color rgb="FF1E293B"/>
        <rFont val="Arial"/>
        <family val="0"/>
        <charset val="1"/>
      </rPr>
      <t xml:space="preserve">Product Hunt </t>
    </r>
    <r>
      <rPr>
        <sz val="9"/>
        <color rgb="FF1E293B"/>
        <rFont val="DejaVu Sans"/>
        <family val="2"/>
      </rPr>
      <t xml:space="preserve">런치 플랜 </t>
    </r>
    <r>
      <rPr>
        <sz val="9"/>
        <color rgb="FF1E293B"/>
        <rFont val="Arial"/>
        <family val="0"/>
        <charset val="1"/>
      </rPr>
      <t xml:space="preserve">+ </t>
    </r>
    <r>
      <rPr>
        <sz val="9"/>
        <color rgb="FF1E293B"/>
        <rFont val="DejaVu Sans"/>
        <family val="2"/>
      </rPr>
      <t xml:space="preserve">에셋 </t>
    </r>
    <r>
      <rPr>
        <sz val="9"/>
        <color rgb="FF1E293B"/>
        <rFont val="Arial"/>
        <family val="0"/>
        <charset val="1"/>
      </rPr>
      <t xml:space="preserve">5</t>
    </r>
    <r>
      <rPr>
        <sz val="9"/>
        <color rgb="FF1E293B"/>
        <rFont val="DejaVu Sans"/>
        <family val="2"/>
      </rPr>
      <t xml:space="preserve">장</t>
    </r>
  </si>
  <si>
    <t xml:space="preserve">S24-26</t>
  </si>
  <si>
    <r>
      <rPr>
        <b val="true"/>
        <sz val="14"/>
        <color rgb="FFFFFFFF"/>
        <rFont val="Arial"/>
        <family val="0"/>
        <charset val="1"/>
      </rPr>
      <t xml:space="preserve">MVP Launch Timeline (</t>
    </r>
    <r>
      <rPr>
        <b val="true"/>
        <sz val="14"/>
        <color rgb="FFFFFFFF"/>
        <rFont val="DejaVu Sans"/>
        <family val="2"/>
      </rPr>
      <t xml:space="preserve">예상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</si>
  <si>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예상 소요</t>
  </si>
  <si>
    <t xml:space="preserve">핵심 작업</t>
  </si>
  <si>
    <t xml:space="preserve">의존성</t>
  </si>
  <si>
    <r>
      <rPr>
        <b val="true"/>
        <sz val="10"/>
        <color rgb="FF02122C"/>
        <rFont val="Arial"/>
        <family val="0"/>
        <charset val="1"/>
      </rPr>
      <t xml:space="preserve">Phase 1: </t>
    </r>
    <r>
      <rPr>
        <b val="true"/>
        <sz val="10"/>
        <color rgb="FF02122C"/>
        <rFont val="DejaVu Sans"/>
        <family val="2"/>
      </rPr>
      <t xml:space="preserve">데이터 완성</t>
    </r>
  </si>
  <si>
    <r>
      <rPr>
        <sz val="10"/>
        <color rgb="FF1E293B"/>
        <rFont val="Arial"/>
        <family val="0"/>
        <charset val="1"/>
      </rPr>
      <t xml:space="preserve">2~3</t>
    </r>
    <r>
      <rPr>
        <sz val="10"/>
        <color rgb="FF1E293B"/>
        <rFont val="DejaVu Sans"/>
        <family val="2"/>
      </rPr>
      <t xml:space="preserve">일</t>
    </r>
  </si>
  <si>
    <r>
      <rPr>
        <sz val="10"/>
        <color rgb="FF1E293B"/>
        <rFont val="Arial"/>
        <family val="0"/>
        <charset val="1"/>
      </rPr>
      <t xml:space="preserve">MIN 9</t>
    </r>
    <r>
      <rPr>
        <sz val="10"/>
        <color rgb="FF1E293B"/>
        <rFont val="DejaVu Sans"/>
        <family val="2"/>
      </rPr>
      <t xml:space="preserve">개국 완료 </t>
    </r>
    <r>
      <rPr>
        <sz val="10"/>
        <color rgb="FF1E293B"/>
        <rFont val="Arial"/>
        <family val="0"/>
        <charset val="1"/>
      </rPr>
      <t xml:space="preserve">+ AGR </t>
    </r>
    <r>
      <rPr>
        <sz val="10"/>
        <color rgb="FF1E293B"/>
        <rFont val="DejaVu Sans"/>
        <family val="2"/>
      </rPr>
      <t xml:space="preserve">임포트</t>
    </r>
  </si>
  <si>
    <r>
      <rPr>
        <sz val="10"/>
        <color rgb="FF1E293B"/>
        <rFont val="Arial"/>
        <family val="0"/>
        <charset val="1"/>
      </rPr>
      <t xml:space="preserve">Mac </t>
    </r>
    <r>
      <rPr>
        <sz val="10"/>
        <color rgb="FF1E293B"/>
        <rFont val="DejaVu Sans"/>
        <family val="2"/>
      </rPr>
      <t xml:space="preserve">백그라운드 실행</t>
    </r>
  </si>
  <si>
    <r>
      <rPr>
        <b val="true"/>
        <sz val="10"/>
        <color rgb="FF02122C"/>
        <rFont val="Arial"/>
        <family val="0"/>
        <charset val="1"/>
      </rPr>
      <t xml:space="preserve">Phase 2: API </t>
    </r>
    <r>
      <rPr>
        <b val="true"/>
        <sz val="10"/>
        <color rgb="FF02122C"/>
        <rFont val="DejaVu Sans"/>
        <family val="2"/>
      </rPr>
      <t xml:space="preserve">검증</t>
    </r>
  </si>
  <si>
    <r>
      <rPr>
        <sz val="10"/>
        <color rgb="FF1E293B"/>
        <rFont val="Arial"/>
        <family val="0"/>
        <charset val="1"/>
      </rPr>
      <t xml:space="preserve">1</t>
    </r>
    <r>
      <rPr>
        <sz val="10"/>
        <color rgb="FF1E293B"/>
        <rFont val="DejaVu Sans"/>
        <family val="2"/>
      </rPr>
      <t xml:space="preserve">일</t>
    </r>
  </si>
  <si>
    <r>
      <rPr>
        <sz val="10"/>
        <color rgb="FF1E293B"/>
        <rFont val="Arial"/>
        <family val="0"/>
        <charset val="1"/>
      </rPr>
      <t xml:space="preserve">lookup </t>
    </r>
    <r>
      <rPr>
        <sz val="10"/>
        <color rgb="FF1E293B"/>
        <rFont val="DejaVu Sans"/>
        <family val="2"/>
      </rPr>
      <t xml:space="preserve">함수 테스트 </t>
    </r>
    <r>
      <rPr>
        <sz val="10"/>
        <color rgb="FF1E293B"/>
        <rFont val="Arial"/>
        <family val="0"/>
        <charset val="1"/>
      </rPr>
      <t xml:space="preserve">+ E2E 10 </t>
    </r>
    <r>
      <rPr>
        <sz val="10"/>
        <color rgb="FF1E293B"/>
        <rFont val="DejaVu Sans"/>
        <family val="2"/>
      </rPr>
      <t xml:space="preserve">시나리오</t>
    </r>
  </si>
  <si>
    <r>
      <rPr>
        <sz val="10"/>
        <color rgb="FF1E293B"/>
        <rFont val="Arial"/>
        <family val="0"/>
        <charset val="1"/>
      </rPr>
      <t xml:space="preserve">Phase 1 </t>
    </r>
    <r>
      <rPr>
        <sz val="10"/>
        <color rgb="FF1E293B"/>
        <rFont val="DejaVu Sans"/>
        <family val="2"/>
      </rPr>
      <t xml:space="preserve">완료</t>
    </r>
  </si>
  <si>
    <r>
      <rPr>
        <b val="true"/>
        <sz val="10"/>
        <color rgb="FF02122C"/>
        <rFont val="Arial"/>
        <family val="0"/>
        <charset val="1"/>
      </rPr>
      <t xml:space="preserve">Phase 3: </t>
    </r>
    <r>
      <rPr>
        <b val="true"/>
        <sz val="10"/>
        <color rgb="FF02122C"/>
        <rFont val="DejaVu Sans"/>
        <family val="2"/>
      </rPr>
      <t xml:space="preserve">결제 </t>
    </r>
    <r>
      <rPr>
        <b val="true"/>
        <sz val="10"/>
        <color rgb="FF02122C"/>
        <rFont val="Arial"/>
        <family val="0"/>
        <charset val="1"/>
      </rPr>
      <t xml:space="preserve">&amp; </t>
    </r>
    <r>
      <rPr>
        <b val="true"/>
        <sz val="10"/>
        <color rgb="FF02122C"/>
        <rFont val="DejaVu Sans"/>
        <family val="2"/>
      </rPr>
      <t xml:space="preserve">인증</t>
    </r>
  </si>
  <si>
    <r>
      <rPr>
        <sz val="10"/>
        <color rgb="FF1E293B"/>
        <rFont val="Arial"/>
        <family val="0"/>
        <charset val="1"/>
      </rPr>
      <t xml:space="preserve">Paddle E2E + </t>
    </r>
    <r>
      <rPr>
        <sz val="10"/>
        <color rgb="FF1E293B"/>
        <rFont val="DejaVu Sans"/>
        <family val="2"/>
      </rPr>
      <t xml:space="preserve">가입→</t>
    </r>
    <r>
      <rPr>
        <sz val="10"/>
        <color rgb="FF1E293B"/>
        <rFont val="Arial"/>
        <family val="0"/>
        <charset val="1"/>
      </rPr>
      <t xml:space="preserve">API </t>
    </r>
    <r>
      <rPr>
        <sz val="10"/>
        <color rgb="FF1E293B"/>
        <rFont val="DejaVu Sans"/>
        <family val="2"/>
      </rPr>
      <t xml:space="preserve">호출 풀플로우</t>
    </r>
  </si>
  <si>
    <r>
      <rPr>
        <sz val="10"/>
        <color rgb="FF1E293B"/>
        <rFont val="DejaVu Sans"/>
        <family val="2"/>
      </rPr>
      <t xml:space="preserve">없음 </t>
    </r>
    <r>
      <rPr>
        <sz val="10"/>
        <color rgb="FF1E293B"/>
        <rFont val="Arial"/>
        <family val="0"/>
        <charset val="1"/>
      </rPr>
      <t xml:space="preserve">(</t>
    </r>
    <r>
      <rPr>
        <sz val="10"/>
        <color rgb="FF1E293B"/>
        <rFont val="DejaVu Sans"/>
        <family val="2"/>
      </rPr>
      <t xml:space="preserve">즉시 가능</t>
    </r>
    <r>
      <rPr>
        <sz val="10"/>
        <color rgb="FF1E293B"/>
        <rFont val="Arial"/>
        <family val="0"/>
        <charset val="1"/>
      </rPr>
      <t xml:space="preserve">)</t>
    </r>
  </si>
  <si>
    <r>
      <rPr>
        <b val="true"/>
        <sz val="10"/>
        <color rgb="FF02122C"/>
        <rFont val="Arial"/>
        <family val="0"/>
        <charset val="1"/>
      </rPr>
      <t xml:space="preserve">Phase 4: Shopify </t>
    </r>
    <r>
      <rPr>
        <b val="true"/>
        <sz val="10"/>
        <color rgb="FF02122C"/>
        <rFont val="DejaVu Sans"/>
        <family val="2"/>
      </rPr>
      <t xml:space="preserve">심사</t>
    </r>
  </si>
  <si>
    <r>
      <rPr>
        <sz val="10"/>
        <color rgb="FF1E293B"/>
        <rFont val="Arial"/>
        <family val="0"/>
        <charset val="1"/>
      </rPr>
      <t xml:space="preserve">1</t>
    </r>
    <r>
      <rPr>
        <sz val="10"/>
        <color rgb="FF1E293B"/>
        <rFont val="DejaVu Sans"/>
        <family val="2"/>
      </rPr>
      <t xml:space="preserve">일 코드 </t>
    </r>
    <r>
      <rPr>
        <sz val="10"/>
        <color rgb="FF1E293B"/>
        <rFont val="Arial"/>
        <family val="0"/>
        <charset val="1"/>
      </rPr>
      <t xml:space="preserve">+ 7~14</t>
    </r>
    <r>
      <rPr>
        <sz val="10"/>
        <color rgb="FF1E293B"/>
        <rFont val="DejaVu Sans"/>
        <family val="2"/>
      </rPr>
      <t xml:space="preserve">일 심사</t>
    </r>
  </si>
  <si>
    <r>
      <rPr>
        <sz val="10"/>
        <color rgb="FF1E293B"/>
        <rFont val="Arial"/>
        <family val="0"/>
        <charset val="1"/>
      </rPr>
      <t xml:space="preserve">HMAC/GDPR/</t>
    </r>
    <r>
      <rPr>
        <sz val="10"/>
        <color rgb="FF1E293B"/>
        <rFont val="DejaVu Sans"/>
        <family val="2"/>
      </rPr>
      <t xml:space="preserve">에러처리 수정 후 제출</t>
    </r>
  </si>
  <si>
    <r>
      <rPr>
        <sz val="10"/>
        <color rgb="FF1E293B"/>
        <rFont val="Arial"/>
        <family val="0"/>
        <charset val="1"/>
      </rPr>
      <t xml:space="preserve">Phase 2 </t>
    </r>
    <r>
      <rPr>
        <sz val="10"/>
        <color rgb="FF1E293B"/>
        <rFont val="DejaVu Sans"/>
        <family val="2"/>
      </rPr>
      <t xml:space="preserve">이후 권장</t>
    </r>
  </si>
  <si>
    <r>
      <rPr>
        <b val="true"/>
        <sz val="10"/>
        <color rgb="FF02122C"/>
        <rFont val="Arial"/>
        <family val="0"/>
        <charset val="1"/>
      </rPr>
      <t xml:space="preserve">Phase 5: QA &amp; </t>
    </r>
    <r>
      <rPr>
        <b val="true"/>
        <sz val="10"/>
        <color rgb="FF02122C"/>
        <rFont val="DejaVu Sans"/>
        <family val="2"/>
      </rPr>
      <t xml:space="preserve">점검</t>
    </r>
  </si>
  <si>
    <r>
      <rPr>
        <sz val="10"/>
        <color rgb="FF1E293B"/>
        <rFont val="DejaVu Sans"/>
        <family val="2"/>
      </rPr>
      <t xml:space="preserve">반응형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다국어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위젯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보안 점검</t>
    </r>
  </si>
  <si>
    <r>
      <rPr>
        <sz val="10"/>
        <color rgb="FF1E293B"/>
        <rFont val="Arial"/>
        <family val="0"/>
        <charset val="1"/>
      </rPr>
      <t xml:space="preserve">Phase 2~3 </t>
    </r>
    <r>
      <rPr>
        <sz val="10"/>
        <color rgb="FF1E293B"/>
        <rFont val="DejaVu Sans"/>
        <family val="2"/>
      </rPr>
      <t xml:space="preserve">완료</t>
    </r>
  </si>
  <si>
    <r>
      <rPr>
        <b val="true"/>
        <sz val="10"/>
        <color rgb="FF02122C"/>
        <rFont val="Arial"/>
        <family val="0"/>
        <charset val="1"/>
      </rPr>
      <t xml:space="preserve">Phase 6: MVP </t>
    </r>
    <r>
      <rPr>
        <b val="true"/>
        <sz val="10"/>
        <color rgb="FF02122C"/>
        <rFont val="DejaVu Sans"/>
        <family val="2"/>
      </rPr>
      <t xml:space="preserve">런치</t>
    </r>
  </si>
  <si>
    <r>
      <rPr>
        <sz val="10"/>
        <color rgb="FF1E293B"/>
        <rFont val="Arial"/>
        <family val="0"/>
        <charset val="1"/>
      </rPr>
      <t xml:space="preserve">Product Hunt + LLM </t>
    </r>
    <r>
      <rPr>
        <sz val="10"/>
        <color rgb="FF1E293B"/>
        <rFont val="DejaVu Sans"/>
        <family val="2"/>
      </rPr>
      <t xml:space="preserve">앱 최종 확인</t>
    </r>
  </si>
  <si>
    <r>
      <rPr>
        <sz val="10"/>
        <color rgb="FF1E293B"/>
        <rFont val="Arial"/>
        <family val="0"/>
        <charset val="1"/>
      </rPr>
      <t xml:space="preserve">Phase 5 </t>
    </r>
    <r>
      <rPr>
        <sz val="10"/>
        <color rgb="FF1E293B"/>
        <rFont val="DejaVu Sans"/>
        <family val="2"/>
      </rPr>
      <t xml:space="preserve">완료</t>
    </r>
  </si>
  <si>
    <t xml:space="preserve">총 예상</t>
  </si>
  <si>
    <r>
      <rPr>
        <sz val="10"/>
        <color rgb="FF1E293B"/>
        <rFont val="Arial"/>
        <family val="0"/>
        <charset val="1"/>
      </rPr>
      <t xml:space="preserve">7~10</t>
    </r>
    <r>
      <rPr>
        <sz val="10"/>
        <color rgb="FF1E293B"/>
        <rFont val="DejaVu Sans"/>
        <family val="2"/>
      </rPr>
      <t xml:space="preserve">일 </t>
    </r>
    <r>
      <rPr>
        <sz val="10"/>
        <color rgb="FF1E293B"/>
        <rFont val="Arial"/>
        <family val="0"/>
        <charset val="1"/>
      </rPr>
      <t xml:space="preserve">(</t>
    </r>
    <r>
      <rPr>
        <sz val="10"/>
        <color rgb="FF1E293B"/>
        <rFont val="DejaVu Sans"/>
        <family val="2"/>
      </rPr>
      <t xml:space="preserve">심사 제외</t>
    </r>
    <r>
      <rPr>
        <sz val="10"/>
        <color rgb="FF1E293B"/>
        <rFont val="Arial"/>
        <family val="0"/>
        <charset val="1"/>
      </rPr>
      <t xml:space="preserve">)</t>
    </r>
  </si>
  <si>
    <r>
      <rPr>
        <sz val="10"/>
        <color rgb="FF1E293B"/>
        <rFont val="Arial"/>
        <family val="0"/>
        <charset val="1"/>
      </rPr>
      <t xml:space="preserve">Shopify </t>
    </r>
    <r>
      <rPr>
        <sz val="10"/>
        <color rgb="FF1E293B"/>
        <rFont val="DejaVu Sans"/>
        <family val="2"/>
      </rPr>
      <t xml:space="preserve">심사 포함 시 </t>
    </r>
    <r>
      <rPr>
        <sz val="10"/>
        <color rgb="FF1E293B"/>
        <rFont val="Arial"/>
        <family val="0"/>
        <charset val="1"/>
      </rPr>
      <t xml:space="preserve">~3</t>
    </r>
    <r>
      <rPr>
        <sz val="10"/>
        <color rgb="FF1E293B"/>
        <rFont val="DejaVu Sans"/>
        <family val="2"/>
      </rPr>
      <t xml:space="preserve">주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</si>
</sst>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475569"/>
      <name val="Arial"/>
      <family val="0"/>
      <charset val="1"/>
    </font>
    <font>
      <sz val="10"/>
      <color rgb="FF475569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E40AF"/>
      <name val="Arial"/>
      <family val="0"/>
      <charset val="1"/>
    </font>
    <font>
      <b val="true"/>
      <sz val="11"/>
      <color rgb="FF1E40AF"/>
      <name val="DejaVu Sans"/>
      <family val="2"/>
    </font>
    <font>
      <sz val="9"/>
      <color rgb="FF475569"/>
      <name val="Arial"/>
      <family val="0"/>
      <charset val="1"/>
    </font>
    <font>
      <sz val="9"/>
      <color rgb="FF475569"/>
      <name val="DejaVu Sans"/>
      <family val="2"/>
    </font>
    <font>
      <sz val="9"/>
      <color rgb="FF1E293B"/>
      <name val="Arial"/>
      <family val="0"/>
      <charset val="1"/>
    </font>
    <font>
      <sz val="9"/>
      <color rgb="FF1E293B"/>
      <name val="DejaVu Sans"/>
      <family val="2"/>
    </font>
    <font>
      <b val="true"/>
      <sz val="9"/>
      <color rgb="FF854D0E"/>
      <name val="DejaVu Sans"/>
      <family val="2"/>
    </font>
    <font>
      <b val="true"/>
      <sz val="9"/>
      <color rgb="FF991B1B"/>
      <name val="Arial"/>
      <family val="0"/>
      <charset val="1"/>
    </font>
    <font>
      <i val="true"/>
      <sz val="9"/>
      <color rgb="FF475569"/>
      <name val="Arial"/>
      <family val="0"/>
      <charset val="1"/>
    </font>
    <font>
      <i val="true"/>
      <sz val="9"/>
      <color rgb="FF475569"/>
      <name val="DejaVu Sans"/>
      <family val="2"/>
    </font>
    <font>
      <b val="true"/>
      <sz val="9"/>
      <color rgb="FF854D0E"/>
      <name val="Arial"/>
      <family val="0"/>
      <charset val="1"/>
    </font>
    <font>
      <sz val="9"/>
      <color rgb="FF1E40AF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1"/>
      <color rgb="FF166534"/>
      <name val="DejaVu Sans"/>
      <family val="2"/>
    </font>
    <font>
      <b val="true"/>
      <sz val="11"/>
      <color rgb="FF854D0E"/>
      <name val="Arial"/>
      <family val="0"/>
      <charset val="1"/>
    </font>
    <font>
      <b val="true"/>
      <sz val="11"/>
      <color rgb="FF854D0E"/>
      <name val="DejaVu Sans"/>
      <family val="2"/>
    </font>
    <font>
      <b val="true"/>
      <sz val="11"/>
      <color rgb="FF991B1B"/>
      <name val="Arial"/>
      <family val="0"/>
      <charset val="1"/>
    </font>
    <font>
      <b val="true"/>
      <sz val="11"/>
      <color rgb="FF991B1B"/>
      <name val="DejaVu Sans"/>
      <family val="2"/>
    </font>
    <font>
      <b val="true"/>
      <sz val="11"/>
      <color rgb="FF6B21A8"/>
      <name val="Arial"/>
      <family val="0"/>
      <charset val="1"/>
    </font>
    <font>
      <b val="true"/>
      <sz val="11"/>
      <color rgb="FF6B21A8"/>
      <name val="DejaVu Sans"/>
      <family val="2"/>
    </font>
    <font>
      <b val="true"/>
      <sz val="11"/>
      <color rgb="FF065F46"/>
      <name val="Arial"/>
      <family val="0"/>
      <charset val="1"/>
    </font>
    <font>
      <b val="true"/>
      <sz val="11"/>
      <color rgb="FF065F46"/>
      <name val="DejaVu Sans"/>
      <family val="2"/>
    </font>
    <font>
      <b val="true"/>
      <sz val="12"/>
      <color rgb="FF02122C"/>
      <name val="Arial"/>
      <family val="0"/>
      <charset val="1"/>
    </font>
    <font>
      <b val="true"/>
      <sz val="10"/>
      <color rgb="FF02122C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02122C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0"/>
      <color rgb="FFFFFFFF"/>
      <name val="DejaVu Sans"/>
      <family val="2"/>
    </font>
    <font>
      <sz val="10"/>
      <color rgb="FF1E293B"/>
      <name val="Arial"/>
      <family val="0"/>
      <charset val="1"/>
    </font>
    <font>
      <sz val="10"/>
      <color rgb="FF1E293B"/>
      <name val="DejaVu Sans"/>
      <family val="2"/>
    </font>
    <font>
      <b val="true"/>
      <sz val="11"/>
      <color rgb="FFF59E0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F8FAFC"/>
        <bgColor rgb="FFFAFAFA"/>
      </patternFill>
    </fill>
    <fill>
      <patternFill patternType="solid">
        <fgColor rgb="FF334155"/>
        <bgColor rgb="FF475569"/>
      </patternFill>
    </fill>
    <fill>
      <patternFill patternType="solid">
        <fgColor rgb="FFEFF6FF"/>
        <bgColor rgb="FFF5F3FF"/>
      </patternFill>
    </fill>
    <fill>
      <patternFill patternType="solid">
        <fgColor rgb="FFFAFAFA"/>
        <bgColor rgb="FFF8FAFC"/>
      </patternFill>
    </fill>
    <fill>
      <patternFill patternType="solid">
        <fgColor rgb="FFFEF9C3"/>
        <bgColor rgb="FFFFFBEB"/>
      </patternFill>
    </fill>
    <fill>
      <patternFill patternType="solid">
        <fgColor rgb="FFF0FDF4"/>
        <bgColor rgb="FFECFDF5"/>
      </patternFill>
    </fill>
    <fill>
      <patternFill patternType="solid">
        <fgColor rgb="FFFFFBEB"/>
        <bgColor rgb="FFFAFAFA"/>
      </patternFill>
    </fill>
    <fill>
      <patternFill patternType="solid">
        <fgColor rgb="FFFFF1F2"/>
        <bgColor rgb="FFF5F3FF"/>
      </patternFill>
    </fill>
    <fill>
      <patternFill patternType="solid">
        <fgColor rgb="FFF5F3FF"/>
        <bgColor rgb="FFEFF6FF"/>
      </patternFill>
    </fill>
    <fill>
      <patternFill patternType="solid">
        <fgColor rgb="FFECFDF5"/>
        <bgColor rgb="FFF0FDF4"/>
      </patternFill>
    </fill>
    <fill>
      <patternFill patternType="solid">
        <fgColor rgb="FF166534"/>
        <bgColor rgb="FF065F4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6B21A8"/>
      <rgbColor rgb="FF065F46"/>
      <rgbColor rgb="FFEFF6FF"/>
      <rgbColor rgb="FF808080"/>
      <rgbColor rgb="FF9999FF"/>
      <rgbColor rgb="FF854D0E"/>
      <rgbColor rgb="FFFEF9C3"/>
      <rgbColor rgb="FFECFDF5"/>
      <rgbColor rgb="FF660066"/>
      <rgbColor rgb="FFFF8080"/>
      <rgbColor rgb="FF0066CC"/>
      <rgbColor rgb="FFF5F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FBEB"/>
      <rgbColor rgb="FFF8FAFC"/>
      <rgbColor rgb="FFFAFAFA"/>
      <rgbColor rgb="FFCC99FF"/>
      <rgbColor rgb="FFFFF1F2"/>
      <rgbColor rgb="FF3366FF"/>
      <rgbColor rgb="FF33CCCC"/>
      <rgbColor rgb="FF99CC00"/>
      <rgbColor rgb="FFFFCC00"/>
      <rgbColor rgb="FFF59E0B"/>
      <rgbColor rgb="FFFF6600"/>
      <rgbColor rgb="FF475569"/>
      <rgbColor rgb="FF969696"/>
      <rgbColor rgb="FF003366"/>
      <rgbColor rgb="FF339966"/>
      <rgbColor rgb="FF02122C"/>
      <rgbColor rgb="FF334155"/>
      <rgbColor rgb="FF991B1B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7.75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31.5" hidden="false" customHeight="true" outlineLevel="0" collapsed="false">
      <c r="A6" s="6" t="n">
        <v>1</v>
      </c>
      <c r="B6" s="7" t="s">
        <v>10</v>
      </c>
      <c r="C6" s="8" t="s">
        <v>11</v>
      </c>
      <c r="D6" s="9" t="s">
        <v>12</v>
      </c>
      <c r="E6" s="10" t="s">
        <v>13</v>
      </c>
      <c r="F6" s="6" t="s">
        <v>14</v>
      </c>
      <c r="G6" s="11" t="s">
        <v>15</v>
      </c>
    </row>
    <row r="7" customFormat="false" ht="31.5" hidden="false" customHeight="true" outlineLevel="0" collapsed="false">
      <c r="A7" s="12" t="n">
        <v>2</v>
      </c>
      <c r="B7" s="13" t="s">
        <v>10</v>
      </c>
      <c r="C7" s="14" t="s">
        <v>16</v>
      </c>
      <c r="D7" s="15" t="s">
        <v>17</v>
      </c>
      <c r="E7" s="16" t="s">
        <v>13</v>
      </c>
      <c r="F7" s="12" t="s">
        <v>18</v>
      </c>
      <c r="G7" s="17" t="s">
        <v>19</v>
      </c>
    </row>
    <row r="8" customFormat="false" ht="31.5" hidden="false" customHeight="true" outlineLevel="0" collapsed="false">
      <c r="A8" s="6" t="n">
        <v>3</v>
      </c>
      <c r="B8" s="7" t="s">
        <v>10</v>
      </c>
      <c r="C8" s="8" t="s">
        <v>20</v>
      </c>
      <c r="D8" s="15" t="s">
        <v>17</v>
      </c>
      <c r="E8" s="18" t="s">
        <v>21</v>
      </c>
      <c r="F8" s="6" t="s">
        <v>14</v>
      </c>
      <c r="G8" s="11" t="s">
        <v>22</v>
      </c>
    </row>
    <row r="9" customFormat="false" ht="31.5" hidden="false" customHeight="true" outlineLevel="0" collapsed="false">
      <c r="A9" s="12" t="n">
        <v>4</v>
      </c>
      <c r="B9" s="13" t="s">
        <v>10</v>
      </c>
      <c r="C9" s="14" t="s">
        <v>23</v>
      </c>
      <c r="D9" s="15" t="s">
        <v>17</v>
      </c>
      <c r="E9" s="19" t="s">
        <v>21</v>
      </c>
      <c r="F9" s="12" t="s">
        <v>18</v>
      </c>
      <c r="G9" s="17" t="s">
        <v>24</v>
      </c>
    </row>
    <row r="10" customFormat="false" ht="31.5" hidden="false" customHeight="true" outlineLevel="0" collapsed="false">
      <c r="A10" s="6" t="n">
        <v>5</v>
      </c>
      <c r="B10" s="7" t="s">
        <v>10</v>
      </c>
      <c r="C10" s="8" t="s">
        <v>25</v>
      </c>
      <c r="D10" s="9" t="s">
        <v>12</v>
      </c>
      <c r="E10" s="20" t="s">
        <v>26</v>
      </c>
      <c r="F10" s="6" t="s">
        <v>14</v>
      </c>
      <c r="G10" s="21" t="s">
        <v>27</v>
      </c>
    </row>
    <row r="11" customFormat="false" ht="27.75" hidden="false" customHeight="true" outlineLevel="0" collapsed="false">
      <c r="A11" s="22" t="s">
        <v>28</v>
      </c>
      <c r="B11" s="22"/>
      <c r="C11" s="22"/>
      <c r="D11" s="22"/>
      <c r="E11" s="22"/>
      <c r="F11" s="22"/>
      <c r="G11" s="22"/>
    </row>
    <row r="12" customFormat="false" ht="31.5" hidden="false" customHeight="true" outlineLevel="0" collapsed="false">
      <c r="A12" s="6" t="n">
        <v>6</v>
      </c>
      <c r="B12" s="6" t="s">
        <v>29</v>
      </c>
      <c r="C12" s="8" t="s">
        <v>30</v>
      </c>
      <c r="D12" s="15" t="s">
        <v>17</v>
      </c>
      <c r="E12" s="10" t="s">
        <v>13</v>
      </c>
      <c r="F12" s="6" t="s">
        <v>18</v>
      </c>
      <c r="G12" s="11" t="s">
        <v>31</v>
      </c>
    </row>
    <row r="13" customFormat="false" ht="31.5" hidden="false" customHeight="true" outlineLevel="0" collapsed="false">
      <c r="A13" s="12" t="n">
        <v>7</v>
      </c>
      <c r="B13" s="12" t="s">
        <v>29</v>
      </c>
      <c r="C13" s="23" t="s">
        <v>32</v>
      </c>
      <c r="D13" s="15" t="s">
        <v>17</v>
      </c>
      <c r="E13" s="19" t="s">
        <v>21</v>
      </c>
      <c r="F13" s="12" t="s">
        <v>18</v>
      </c>
      <c r="G13" s="17" t="s">
        <v>33</v>
      </c>
    </row>
    <row r="14" customFormat="false" ht="31.5" hidden="false" customHeight="true" outlineLevel="0" collapsed="false">
      <c r="A14" s="6" t="n">
        <v>8</v>
      </c>
      <c r="B14" s="6" t="s">
        <v>29</v>
      </c>
      <c r="C14" s="24" t="s">
        <v>34</v>
      </c>
      <c r="D14" s="15" t="s">
        <v>17</v>
      </c>
      <c r="E14" s="18" t="s">
        <v>21</v>
      </c>
      <c r="F14" s="6" t="s">
        <v>18</v>
      </c>
      <c r="G14" s="11" t="s">
        <v>35</v>
      </c>
    </row>
    <row r="15" customFormat="false" ht="31.5" hidden="false" customHeight="true" outlineLevel="0" collapsed="false">
      <c r="A15" s="12" t="n">
        <v>9</v>
      </c>
      <c r="B15" s="12" t="s">
        <v>29</v>
      </c>
      <c r="C15" s="14" t="s">
        <v>36</v>
      </c>
      <c r="D15" s="15" t="s">
        <v>17</v>
      </c>
      <c r="E15" s="16" t="s">
        <v>13</v>
      </c>
      <c r="F15" s="12" t="s">
        <v>18</v>
      </c>
      <c r="G15" s="17" t="s">
        <v>37</v>
      </c>
    </row>
    <row r="16" customFormat="false" ht="31.5" hidden="false" customHeight="true" outlineLevel="0" collapsed="false">
      <c r="A16" s="6" t="n">
        <v>10</v>
      </c>
      <c r="B16" s="6" t="s">
        <v>29</v>
      </c>
      <c r="C16" s="8" t="s">
        <v>38</v>
      </c>
      <c r="D16" s="15" t="s">
        <v>17</v>
      </c>
      <c r="E16" s="18" t="s">
        <v>21</v>
      </c>
      <c r="F16" s="6" t="s">
        <v>18</v>
      </c>
      <c r="G16" s="11" t="s">
        <v>39</v>
      </c>
    </row>
    <row r="17" customFormat="false" ht="31.5" hidden="false" customHeight="true" outlineLevel="0" collapsed="false">
      <c r="A17" s="12" t="n">
        <v>11</v>
      </c>
      <c r="B17" s="12" t="s">
        <v>29</v>
      </c>
      <c r="C17" s="14" t="s">
        <v>40</v>
      </c>
      <c r="D17" s="15" t="s">
        <v>17</v>
      </c>
      <c r="E17" s="25" t="s">
        <v>26</v>
      </c>
      <c r="F17" s="12" t="s">
        <v>18</v>
      </c>
      <c r="G17" s="26" t="s">
        <v>41</v>
      </c>
    </row>
    <row r="18" customFormat="false" ht="31.5" hidden="false" customHeight="true" outlineLevel="0" collapsed="false">
      <c r="A18" s="6" t="n">
        <v>12</v>
      </c>
      <c r="B18" s="6" t="s">
        <v>29</v>
      </c>
      <c r="C18" s="8" t="s">
        <v>42</v>
      </c>
      <c r="D18" s="15" t="s">
        <v>17</v>
      </c>
      <c r="E18" s="18" t="s">
        <v>21</v>
      </c>
      <c r="F18" s="6" t="s">
        <v>18</v>
      </c>
      <c r="G18" s="11" t="s">
        <v>43</v>
      </c>
    </row>
    <row r="19" customFormat="false" ht="31.5" hidden="false" customHeight="true" outlineLevel="0" collapsed="false">
      <c r="A19" s="12" t="n">
        <v>13</v>
      </c>
      <c r="B19" s="12" t="s">
        <v>29</v>
      </c>
      <c r="C19" s="14" t="s">
        <v>44</v>
      </c>
      <c r="D19" s="15" t="s">
        <v>17</v>
      </c>
      <c r="E19" s="19" t="s">
        <v>21</v>
      </c>
      <c r="F19" s="12" t="s">
        <v>18</v>
      </c>
      <c r="G19" s="17" t="s">
        <v>45</v>
      </c>
    </row>
    <row r="20" customFormat="false" ht="27.75" hidden="false" customHeight="true" outlineLevel="0" collapsed="false">
      <c r="A20" s="27" t="s">
        <v>46</v>
      </c>
      <c r="B20" s="27"/>
      <c r="C20" s="27"/>
      <c r="D20" s="27"/>
      <c r="E20" s="27"/>
      <c r="F20" s="27"/>
      <c r="G20" s="27"/>
    </row>
    <row r="21" customFormat="false" ht="31.5" hidden="false" customHeight="true" outlineLevel="0" collapsed="false">
      <c r="A21" s="12" t="n">
        <v>14</v>
      </c>
      <c r="B21" s="13" t="s">
        <v>47</v>
      </c>
      <c r="C21" s="14" t="s">
        <v>48</v>
      </c>
      <c r="D21" s="15" t="s">
        <v>17</v>
      </c>
      <c r="E21" s="16" t="s">
        <v>13</v>
      </c>
      <c r="F21" s="13" t="s">
        <v>49</v>
      </c>
      <c r="G21" s="26" t="s">
        <v>50</v>
      </c>
    </row>
    <row r="22" customFormat="false" ht="31.5" hidden="false" customHeight="true" outlineLevel="0" collapsed="false">
      <c r="A22" s="6" t="n">
        <v>15</v>
      </c>
      <c r="B22" s="7" t="s">
        <v>47</v>
      </c>
      <c r="C22" s="8" t="s">
        <v>51</v>
      </c>
      <c r="D22" s="15" t="s">
        <v>17</v>
      </c>
      <c r="E22" s="18" t="s">
        <v>21</v>
      </c>
      <c r="F22" s="7" t="s">
        <v>49</v>
      </c>
      <c r="G22" s="11" t="s">
        <v>52</v>
      </c>
    </row>
    <row r="23" customFormat="false" ht="31.5" hidden="false" customHeight="true" outlineLevel="0" collapsed="false">
      <c r="A23" s="12" t="n">
        <v>16</v>
      </c>
      <c r="B23" s="13" t="s">
        <v>47</v>
      </c>
      <c r="C23" s="14" t="s">
        <v>53</v>
      </c>
      <c r="D23" s="15" t="s">
        <v>17</v>
      </c>
      <c r="E23" s="16" t="s">
        <v>13</v>
      </c>
      <c r="F23" s="13" t="s">
        <v>49</v>
      </c>
      <c r="G23" s="17" t="s">
        <v>54</v>
      </c>
    </row>
    <row r="24" customFormat="false" ht="31.5" hidden="false" customHeight="true" outlineLevel="0" collapsed="false">
      <c r="A24" s="6" t="n">
        <v>17</v>
      </c>
      <c r="B24" s="7" t="s">
        <v>47</v>
      </c>
      <c r="C24" s="8" t="s">
        <v>55</v>
      </c>
      <c r="D24" s="15" t="s">
        <v>17</v>
      </c>
      <c r="E24" s="18" t="s">
        <v>21</v>
      </c>
      <c r="F24" s="7" t="s">
        <v>49</v>
      </c>
      <c r="G24" s="11" t="s">
        <v>56</v>
      </c>
    </row>
    <row r="25" customFormat="false" ht="31.5" hidden="false" customHeight="true" outlineLevel="0" collapsed="false">
      <c r="A25" s="12" t="n">
        <v>18</v>
      </c>
      <c r="B25" s="13" t="s">
        <v>57</v>
      </c>
      <c r="C25" s="23" t="s">
        <v>58</v>
      </c>
      <c r="D25" s="15" t="s">
        <v>17</v>
      </c>
      <c r="E25" s="16" t="s">
        <v>13</v>
      </c>
      <c r="F25" s="13" t="s">
        <v>49</v>
      </c>
      <c r="G25" s="26" t="s">
        <v>59</v>
      </c>
    </row>
    <row r="26" customFormat="false" ht="31.5" hidden="false" customHeight="true" outlineLevel="0" collapsed="false">
      <c r="A26" s="6" t="n">
        <v>19</v>
      </c>
      <c r="B26" s="7" t="s">
        <v>57</v>
      </c>
      <c r="C26" s="8" t="s">
        <v>60</v>
      </c>
      <c r="D26" s="15" t="s">
        <v>17</v>
      </c>
      <c r="E26" s="20" t="s">
        <v>26</v>
      </c>
      <c r="F26" s="7" t="s">
        <v>49</v>
      </c>
      <c r="G26" s="11" t="s">
        <v>61</v>
      </c>
    </row>
    <row r="27" customFormat="false" ht="27.75" hidden="false" customHeight="true" outlineLevel="0" collapsed="false">
      <c r="A27" s="28" t="s">
        <v>62</v>
      </c>
      <c r="B27" s="28"/>
      <c r="C27" s="28"/>
      <c r="D27" s="28"/>
      <c r="E27" s="28"/>
      <c r="F27" s="28"/>
      <c r="G27" s="28"/>
    </row>
    <row r="28" customFormat="false" ht="31.5" hidden="false" customHeight="true" outlineLevel="0" collapsed="false">
      <c r="A28" s="6" t="n">
        <v>20</v>
      </c>
      <c r="B28" s="6" t="s">
        <v>63</v>
      </c>
      <c r="C28" s="8" t="s">
        <v>64</v>
      </c>
      <c r="D28" s="15" t="s">
        <v>17</v>
      </c>
      <c r="E28" s="10" t="s">
        <v>13</v>
      </c>
      <c r="F28" s="6" t="s">
        <v>18</v>
      </c>
      <c r="G28" s="21" t="s">
        <v>65</v>
      </c>
    </row>
    <row r="29" customFormat="false" ht="31.5" hidden="false" customHeight="true" outlineLevel="0" collapsed="false">
      <c r="A29" s="12" t="n">
        <v>21</v>
      </c>
      <c r="B29" s="12" t="s">
        <v>63</v>
      </c>
      <c r="C29" s="14" t="s">
        <v>66</v>
      </c>
      <c r="D29" s="15" t="s">
        <v>17</v>
      </c>
      <c r="E29" s="19" t="s">
        <v>21</v>
      </c>
      <c r="F29" s="12" t="s">
        <v>18</v>
      </c>
      <c r="G29" s="26" t="s">
        <v>67</v>
      </c>
    </row>
    <row r="30" customFormat="false" ht="31.5" hidden="false" customHeight="true" outlineLevel="0" collapsed="false">
      <c r="A30" s="6" t="n">
        <v>22</v>
      </c>
      <c r="B30" s="6" t="s">
        <v>63</v>
      </c>
      <c r="C30" s="8" t="s">
        <v>68</v>
      </c>
      <c r="D30" s="15" t="s">
        <v>17</v>
      </c>
      <c r="E30" s="10" t="s">
        <v>13</v>
      </c>
      <c r="F30" s="6" t="s">
        <v>18</v>
      </c>
      <c r="G30" s="11" t="s">
        <v>69</v>
      </c>
    </row>
    <row r="31" customFormat="false" ht="31.5" hidden="false" customHeight="true" outlineLevel="0" collapsed="false">
      <c r="A31" s="12" t="n">
        <v>23</v>
      </c>
      <c r="B31" s="12" t="s">
        <v>63</v>
      </c>
      <c r="C31" s="14" t="s">
        <v>70</v>
      </c>
      <c r="D31" s="15" t="s">
        <v>17</v>
      </c>
      <c r="E31" s="25" t="s">
        <v>26</v>
      </c>
      <c r="F31" s="12" t="s">
        <v>18</v>
      </c>
      <c r="G31" s="26" t="s">
        <v>71</v>
      </c>
    </row>
    <row r="32" customFormat="false" ht="31.5" hidden="false" customHeight="true" outlineLevel="0" collapsed="false">
      <c r="A32" s="6" t="n">
        <v>24</v>
      </c>
      <c r="B32" s="6" t="s">
        <v>63</v>
      </c>
      <c r="C32" s="8" t="s">
        <v>72</v>
      </c>
      <c r="D32" s="15" t="s">
        <v>17</v>
      </c>
      <c r="E32" s="20" t="s">
        <v>26</v>
      </c>
      <c r="F32" s="6" t="s">
        <v>18</v>
      </c>
      <c r="G32" s="21" t="s">
        <v>73</v>
      </c>
    </row>
    <row r="33" customFormat="false" ht="31.5" hidden="false" customHeight="true" outlineLevel="0" collapsed="false">
      <c r="A33" s="12" t="n">
        <v>25</v>
      </c>
      <c r="B33" s="12" t="s">
        <v>63</v>
      </c>
      <c r="C33" s="23" t="s">
        <v>74</v>
      </c>
      <c r="D33" s="15" t="s">
        <v>17</v>
      </c>
      <c r="E33" s="16" t="s">
        <v>13</v>
      </c>
      <c r="F33" s="13" t="s">
        <v>49</v>
      </c>
      <c r="G33" s="17" t="s">
        <v>75</v>
      </c>
    </row>
    <row r="34" customFormat="false" ht="31.5" hidden="false" customHeight="true" outlineLevel="0" collapsed="false">
      <c r="A34" s="6" t="n">
        <v>26</v>
      </c>
      <c r="B34" s="6" t="s">
        <v>63</v>
      </c>
      <c r="C34" s="8" t="s">
        <v>76</v>
      </c>
      <c r="D34" s="15" t="s">
        <v>17</v>
      </c>
      <c r="E34" s="10" t="s">
        <v>13</v>
      </c>
      <c r="F34" s="7" t="s">
        <v>49</v>
      </c>
      <c r="G34" s="21" t="s">
        <v>77</v>
      </c>
    </row>
    <row r="35" customFormat="false" ht="27.75" hidden="false" customHeight="true" outlineLevel="0" collapsed="false">
      <c r="A35" s="29" t="s">
        <v>78</v>
      </c>
      <c r="B35" s="29"/>
      <c r="C35" s="29"/>
      <c r="D35" s="29"/>
      <c r="E35" s="29"/>
      <c r="F35" s="29"/>
      <c r="G35" s="29"/>
    </row>
    <row r="36" customFormat="false" ht="31.5" hidden="false" customHeight="true" outlineLevel="0" collapsed="false">
      <c r="A36" s="6" t="n">
        <v>27</v>
      </c>
      <c r="B36" s="6" t="s">
        <v>79</v>
      </c>
      <c r="C36" s="24" t="s">
        <v>80</v>
      </c>
      <c r="D36" s="15" t="s">
        <v>17</v>
      </c>
      <c r="E36" s="10" t="s">
        <v>13</v>
      </c>
      <c r="F36" s="6" t="s">
        <v>14</v>
      </c>
      <c r="G36" s="21" t="s">
        <v>81</v>
      </c>
    </row>
    <row r="37" customFormat="false" ht="31.5" hidden="false" customHeight="true" outlineLevel="0" collapsed="false">
      <c r="A37" s="12" t="n">
        <v>28</v>
      </c>
      <c r="B37" s="12" t="s">
        <v>79</v>
      </c>
      <c r="C37" s="23" t="s">
        <v>82</v>
      </c>
      <c r="D37" s="15" t="s">
        <v>17</v>
      </c>
      <c r="E37" s="19" t="s">
        <v>21</v>
      </c>
      <c r="F37" s="13" t="s">
        <v>49</v>
      </c>
      <c r="G37" s="17" t="s">
        <v>83</v>
      </c>
    </row>
    <row r="38" customFormat="false" ht="31.5" hidden="false" customHeight="true" outlineLevel="0" collapsed="false">
      <c r="A38" s="6" t="n">
        <v>29</v>
      </c>
      <c r="B38" s="6" t="s">
        <v>79</v>
      </c>
      <c r="C38" s="24" t="s">
        <v>84</v>
      </c>
      <c r="D38" s="15" t="s">
        <v>17</v>
      </c>
      <c r="E38" s="20" t="s">
        <v>26</v>
      </c>
      <c r="F38" s="7" t="s">
        <v>49</v>
      </c>
      <c r="G38" s="11" t="s">
        <v>85</v>
      </c>
    </row>
    <row r="39" customFormat="false" ht="31.5" hidden="false" customHeight="true" outlineLevel="0" collapsed="false">
      <c r="A39" s="12" t="n">
        <v>30</v>
      </c>
      <c r="B39" s="12" t="s">
        <v>79</v>
      </c>
      <c r="C39" s="14" t="s">
        <v>86</v>
      </c>
      <c r="D39" s="15" t="s">
        <v>17</v>
      </c>
      <c r="E39" s="19" t="s">
        <v>21</v>
      </c>
      <c r="F39" s="13" t="s">
        <v>49</v>
      </c>
      <c r="G39" s="17" t="s">
        <v>87</v>
      </c>
    </row>
    <row r="40" customFormat="false" ht="31.5" hidden="false" customHeight="true" outlineLevel="0" collapsed="false">
      <c r="A40" s="6" t="n">
        <v>31</v>
      </c>
      <c r="B40" s="6" t="s">
        <v>79</v>
      </c>
      <c r="C40" s="8" t="s">
        <v>88</v>
      </c>
      <c r="D40" s="15" t="s">
        <v>17</v>
      </c>
      <c r="E40" s="18" t="s">
        <v>21</v>
      </c>
      <c r="F40" s="7" t="s">
        <v>49</v>
      </c>
      <c r="G40" s="11" t="s">
        <v>89</v>
      </c>
    </row>
    <row r="41" customFormat="false" ht="31.5" hidden="false" customHeight="true" outlineLevel="0" collapsed="false">
      <c r="A41" s="12" t="n">
        <v>32</v>
      </c>
      <c r="B41" s="12" t="s">
        <v>79</v>
      </c>
      <c r="C41" s="14" t="s">
        <v>90</v>
      </c>
      <c r="D41" s="15" t="s">
        <v>17</v>
      </c>
      <c r="E41" s="19" t="s">
        <v>21</v>
      </c>
      <c r="F41" s="13" t="s">
        <v>49</v>
      </c>
      <c r="G41" s="17" t="s">
        <v>91</v>
      </c>
    </row>
    <row r="42" customFormat="false" ht="31.5" hidden="false" customHeight="true" outlineLevel="0" collapsed="false">
      <c r="A42" s="6" t="n">
        <v>33</v>
      </c>
      <c r="B42" s="6" t="s">
        <v>79</v>
      </c>
      <c r="C42" s="8" t="s">
        <v>92</v>
      </c>
      <c r="D42" s="15" t="s">
        <v>17</v>
      </c>
      <c r="E42" s="20" t="s">
        <v>26</v>
      </c>
      <c r="F42" s="6" t="s">
        <v>18</v>
      </c>
      <c r="G42" s="21" t="s">
        <v>93</v>
      </c>
    </row>
    <row r="43" customFormat="false" ht="31.5" hidden="false" customHeight="true" outlineLevel="0" collapsed="false">
      <c r="A43" s="12" t="n">
        <v>34</v>
      </c>
      <c r="B43" s="12" t="s">
        <v>79</v>
      </c>
      <c r="C43" s="14" t="s">
        <v>94</v>
      </c>
      <c r="D43" s="15" t="s">
        <v>17</v>
      </c>
      <c r="E43" s="25" t="s">
        <v>26</v>
      </c>
      <c r="F43" s="13" t="s">
        <v>49</v>
      </c>
      <c r="G43" s="17" t="s">
        <v>95</v>
      </c>
    </row>
    <row r="44" customFormat="false" ht="31.5" hidden="false" customHeight="true" outlineLevel="0" collapsed="false">
      <c r="A44" s="6" t="n">
        <v>35</v>
      </c>
      <c r="B44" s="6" t="s">
        <v>79</v>
      </c>
      <c r="C44" s="24" t="s">
        <v>96</v>
      </c>
      <c r="D44" s="15" t="s">
        <v>17</v>
      </c>
      <c r="E44" s="18" t="s">
        <v>21</v>
      </c>
      <c r="F44" s="6" t="s">
        <v>18</v>
      </c>
      <c r="G44" s="21" t="s">
        <v>97</v>
      </c>
    </row>
    <row r="45" customFormat="false" ht="27.75" hidden="false" customHeight="true" outlineLevel="0" collapsed="false">
      <c r="A45" s="30" t="s">
        <v>98</v>
      </c>
      <c r="B45" s="30"/>
      <c r="C45" s="30"/>
      <c r="D45" s="30"/>
      <c r="E45" s="30"/>
      <c r="F45" s="30"/>
      <c r="G45" s="30"/>
    </row>
    <row r="46" customFormat="false" ht="31.5" hidden="false" customHeight="true" outlineLevel="0" collapsed="false">
      <c r="A46" s="6" t="n">
        <v>36</v>
      </c>
      <c r="B46" s="7" t="s">
        <v>99</v>
      </c>
      <c r="C46" s="8" t="s">
        <v>100</v>
      </c>
      <c r="D46" s="15" t="s">
        <v>17</v>
      </c>
      <c r="E46" s="18" t="s">
        <v>21</v>
      </c>
      <c r="F46" s="7" t="s">
        <v>49</v>
      </c>
      <c r="G46" s="11" t="s">
        <v>101</v>
      </c>
    </row>
    <row r="47" customFormat="false" ht="31.5" hidden="false" customHeight="true" outlineLevel="0" collapsed="false">
      <c r="A47" s="12" t="n">
        <v>37</v>
      </c>
      <c r="B47" s="13" t="s">
        <v>99</v>
      </c>
      <c r="C47" s="14" t="s">
        <v>102</v>
      </c>
      <c r="D47" s="15" t="s">
        <v>17</v>
      </c>
      <c r="E47" s="25" t="s">
        <v>26</v>
      </c>
      <c r="F47" s="13" t="s">
        <v>49</v>
      </c>
      <c r="G47" s="17" t="s">
        <v>103</v>
      </c>
    </row>
    <row r="48" customFormat="false" ht="31.5" hidden="false" customHeight="true" outlineLevel="0" collapsed="false">
      <c r="A48" s="6" t="n">
        <v>38</v>
      </c>
      <c r="B48" s="7" t="s">
        <v>99</v>
      </c>
      <c r="C48" s="8" t="s">
        <v>104</v>
      </c>
      <c r="D48" s="15" t="s">
        <v>17</v>
      </c>
      <c r="E48" s="20" t="s">
        <v>26</v>
      </c>
      <c r="F48" s="7" t="s">
        <v>49</v>
      </c>
      <c r="G48" s="11" t="s">
        <v>105</v>
      </c>
    </row>
    <row r="49" customFormat="false" ht="31.5" hidden="false" customHeight="true" outlineLevel="0" collapsed="false">
      <c r="A49" s="12" t="n">
        <v>39</v>
      </c>
      <c r="B49" s="13" t="s">
        <v>99</v>
      </c>
      <c r="C49" s="14" t="s">
        <v>106</v>
      </c>
      <c r="D49" s="15" t="s">
        <v>17</v>
      </c>
      <c r="E49" s="25" t="s">
        <v>26</v>
      </c>
      <c r="F49" s="13" t="s">
        <v>49</v>
      </c>
      <c r="G49" s="17" t="s">
        <v>107</v>
      </c>
    </row>
    <row r="50" customFormat="false" ht="31.5" hidden="false" customHeight="true" outlineLevel="0" collapsed="false">
      <c r="A50" s="6" t="n">
        <v>40</v>
      </c>
      <c r="B50" s="7" t="s">
        <v>99</v>
      </c>
      <c r="C50" s="8" t="s">
        <v>108</v>
      </c>
      <c r="D50" s="15" t="s">
        <v>17</v>
      </c>
      <c r="E50" s="20" t="s">
        <v>26</v>
      </c>
      <c r="F50" s="7" t="s">
        <v>49</v>
      </c>
      <c r="G50" s="21" t="s">
        <v>109</v>
      </c>
    </row>
    <row r="51" customFormat="false" ht="31.5" hidden="false" customHeight="true" outlineLevel="0" collapsed="false">
      <c r="A51" s="12" t="n">
        <v>41</v>
      </c>
      <c r="B51" s="13" t="s">
        <v>99</v>
      </c>
      <c r="C51" s="14" t="s">
        <v>110</v>
      </c>
      <c r="D51" s="15" t="s">
        <v>17</v>
      </c>
      <c r="E51" s="19" t="s">
        <v>21</v>
      </c>
      <c r="F51" s="13" t="s">
        <v>49</v>
      </c>
      <c r="G51" s="26" t="s">
        <v>111</v>
      </c>
    </row>
    <row r="52" customFormat="false" ht="31.5" hidden="false" customHeight="true" outlineLevel="0" collapsed="false">
      <c r="A52" s="6" t="n">
        <v>42</v>
      </c>
      <c r="B52" s="7" t="s">
        <v>99</v>
      </c>
      <c r="C52" s="24" t="s">
        <v>112</v>
      </c>
      <c r="D52" s="15" t="s">
        <v>17</v>
      </c>
      <c r="E52" s="20" t="s">
        <v>26</v>
      </c>
      <c r="F52" s="7" t="s">
        <v>49</v>
      </c>
      <c r="G52" s="11" t="s">
        <v>113</v>
      </c>
    </row>
    <row r="53" customFormat="false" ht="31.5" hidden="false" customHeight="true" outlineLevel="0" collapsed="false">
      <c r="A53" s="12" t="n">
        <v>43</v>
      </c>
      <c r="B53" s="13" t="s">
        <v>99</v>
      </c>
      <c r="C53" s="23" t="s">
        <v>114</v>
      </c>
      <c r="D53" s="15" t="s">
        <v>17</v>
      </c>
      <c r="E53" s="12" t="s">
        <v>115</v>
      </c>
      <c r="F53" s="13" t="s">
        <v>49</v>
      </c>
      <c r="G53" s="26" t="s">
        <v>116</v>
      </c>
    </row>
    <row r="54" customFormat="false" ht="31.5" hidden="false" customHeight="true" outlineLevel="0" collapsed="false">
      <c r="A54" s="6" t="n">
        <v>44</v>
      </c>
      <c r="B54" s="7" t="s">
        <v>99</v>
      </c>
      <c r="C54" s="8" t="s">
        <v>117</v>
      </c>
      <c r="D54" s="15" t="s">
        <v>17</v>
      </c>
      <c r="E54" s="20" t="s">
        <v>26</v>
      </c>
      <c r="F54" s="7" t="s">
        <v>49</v>
      </c>
      <c r="G54" s="11" t="s">
        <v>118</v>
      </c>
    </row>
    <row r="56" customFormat="false" ht="15" hidden="false" customHeight="false" outlineLevel="0" collapsed="false">
      <c r="A56" s="31" t="s">
        <v>119</v>
      </c>
      <c r="B56" s="31"/>
      <c r="C56" s="31"/>
      <c r="D56" s="31"/>
      <c r="E56" s="31"/>
      <c r="F56" s="31"/>
      <c r="G56" s="31"/>
    </row>
    <row r="57" customFormat="false" ht="15" hidden="false" customHeight="false" outlineLevel="0" collapsed="false">
      <c r="A57" s="32" t="s">
        <v>120</v>
      </c>
      <c r="B57" s="33" t="n">
        <f aca="false">COUNTA(D5:D55)-6</f>
        <v>38</v>
      </c>
    </row>
    <row r="58" customFormat="false" ht="15" hidden="false" customHeight="false" outlineLevel="0" collapsed="false">
      <c r="A58" s="34" t="s">
        <v>121</v>
      </c>
      <c r="B58" s="33" t="n">
        <f aca="false">COUNTIF(D5:D55,"완료")</f>
        <v>0</v>
      </c>
    </row>
    <row r="59" customFormat="false" ht="15" hidden="false" customHeight="false" outlineLevel="0" collapsed="false">
      <c r="A59" s="34" t="s">
        <v>12</v>
      </c>
      <c r="B59" s="33" t="n">
        <f aca="false">COUNTIF(D5:D55,"진행중")</f>
        <v>2</v>
      </c>
    </row>
    <row r="60" customFormat="false" ht="15" hidden="false" customHeight="false" outlineLevel="0" collapsed="false">
      <c r="A60" s="34" t="s">
        <v>17</v>
      </c>
      <c r="B60" s="33" t="n">
        <f aca="false">COUNTIF(D5:D55,"대기")</f>
        <v>42</v>
      </c>
    </row>
    <row r="61" customFormat="false" ht="15" hidden="false" customHeight="false" outlineLevel="0" collapsed="false">
      <c r="A61" s="32" t="s">
        <v>13</v>
      </c>
      <c r="B61" s="33" t="n">
        <f aca="false">COUNTIF(E5:E55,"Critical")</f>
        <v>12</v>
      </c>
    </row>
    <row r="62" customFormat="false" ht="15" hidden="false" customHeight="false" outlineLevel="0" collapsed="false">
      <c r="A62" s="34" t="s">
        <v>122</v>
      </c>
      <c r="B62" s="35" t="n">
        <f aca="false">IF(B57=0,0,B58/B57)</f>
        <v>0</v>
      </c>
    </row>
  </sheetData>
  <mergeCells count="10">
    <mergeCell ref="A1:G1"/>
    <mergeCell ref="A2:G2"/>
    <mergeCell ref="A3:G3"/>
    <mergeCell ref="A5:G5"/>
    <mergeCell ref="A11:G11"/>
    <mergeCell ref="A20:G20"/>
    <mergeCell ref="A27:G27"/>
    <mergeCell ref="A35:G35"/>
    <mergeCell ref="A45:G45"/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15"/>
  </cols>
  <sheetData>
    <row r="1" customFormat="false" ht="36" hidden="false" customHeight="true" outlineLevel="0" collapsed="false">
      <c r="A1" s="36" t="s">
        <v>123</v>
      </c>
      <c r="B1" s="36"/>
      <c r="C1" s="36"/>
      <c r="D1" s="36"/>
    </row>
    <row r="2" customFormat="false" ht="15" hidden="false" customHeight="false" outlineLevel="0" collapsed="false">
      <c r="A2" s="37" t="s">
        <v>2</v>
      </c>
      <c r="B2" s="37" t="s">
        <v>124</v>
      </c>
      <c r="C2" s="37" t="s">
        <v>125</v>
      </c>
      <c r="D2" s="37" t="s">
        <v>126</v>
      </c>
    </row>
    <row r="3" customFormat="false" ht="24" hidden="false" customHeight="true" outlineLevel="0" collapsed="false">
      <c r="A3" s="14" t="n">
        <v>1</v>
      </c>
      <c r="B3" s="14" t="s">
        <v>127</v>
      </c>
      <c r="C3" s="14" t="s">
        <v>128</v>
      </c>
      <c r="D3" s="14" t="s">
        <v>129</v>
      </c>
    </row>
    <row r="4" customFormat="false" ht="24" hidden="false" customHeight="true" outlineLevel="0" collapsed="false">
      <c r="A4" s="38" t="n">
        <v>2</v>
      </c>
      <c r="B4" s="38" t="s">
        <v>127</v>
      </c>
      <c r="C4" s="39" t="s">
        <v>130</v>
      </c>
      <c r="D4" s="38" t="s">
        <v>131</v>
      </c>
    </row>
    <row r="5" customFormat="false" ht="24" hidden="false" customHeight="true" outlineLevel="0" collapsed="false">
      <c r="A5" s="14" t="n">
        <v>3</v>
      </c>
      <c r="B5" s="14" t="s">
        <v>127</v>
      </c>
      <c r="C5" s="23" t="s">
        <v>132</v>
      </c>
      <c r="D5" s="14" t="s">
        <v>133</v>
      </c>
    </row>
    <row r="6" customFormat="false" ht="24" hidden="false" customHeight="true" outlineLevel="0" collapsed="false">
      <c r="A6" s="38" t="n">
        <v>4</v>
      </c>
      <c r="B6" s="38" t="s">
        <v>127</v>
      </c>
      <c r="C6" s="39" t="s">
        <v>134</v>
      </c>
      <c r="D6" s="38" t="s">
        <v>135</v>
      </c>
    </row>
    <row r="7" customFormat="false" ht="24" hidden="false" customHeight="true" outlineLevel="0" collapsed="false">
      <c r="A7" s="14" t="n">
        <v>5</v>
      </c>
      <c r="B7" s="14" t="s">
        <v>127</v>
      </c>
      <c r="C7" s="14" t="s">
        <v>136</v>
      </c>
      <c r="D7" s="14" t="s">
        <v>137</v>
      </c>
    </row>
    <row r="8" customFormat="false" ht="24" hidden="false" customHeight="true" outlineLevel="0" collapsed="false">
      <c r="A8" s="38" t="n">
        <v>6</v>
      </c>
      <c r="B8" s="38" t="s">
        <v>127</v>
      </c>
      <c r="C8" s="39" t="s">
        <v>138</v>
      </c>
      <c r="D8" s="38" t="s">
        <v>139</v>
      </c>
    </row>
    <row r="9" customFormat="false" ht="24" hidden="false" customHeight="true" outlineLevel="0" collapsed="false">
      <c r="A9" s="14" t="n">
        <v>7</v>
      </c>
      <c r="B9" s="14" t="s">
        <v>127</v>
      </c>
      <c r="C9" s="23" t="s">
        <v>140</v>
      </c>
      <c r="D9" s="14" t="s">
        <v>133</v>
      </c>
    </row>
    <row r="10" customFormat="false" ht="24" hidden="false" customHeight="true" outlineLevel="0" collapsed="false">
      <c r="A10" s="38" t="n">
        <v>8</v>
      </c>
      <c r="B10" s="38" t="s">
        <v>127</v>
      </c>
      <c r="C10" s="38" t="s">
        <v>141</v>
      </c>
      <c r="D10" s="38" t="s">
        <v>142</v>
      </c>
    </row>
    <row r="11" customFormat="false" ht="24" hidden="false" customHeight="true" outlineLevel="0" collapsed="false">
      <c r="A11" s="14" t="n">
        <v>9</v>
      </c>
      <c r="B11" s="14" t="s">
        <v>143</v>
      </c>
      <c r="C11" s="14" t="s">
        <v>144</v>
      </c>
      <c r="D11" s="14" t="s">
        <v>145</v>
      </c>
    </row>
    <row r="12" customFormat="false" ht="24" hidden="false" customHeight="true" outlineLevel="0" collapsed="false">
      <c r="A12" s="38" t="n">
        <v>10</v>
      </c>
      <c r="B12" s="38" t="s">
        <v>143</v>
      </c>
      <c r="C12" s="38" t="s">
        <v>146</v>
      </c>
      <c r="D12" s="38" t="s">
        <v>147</v>
      </c>
    </row>
    <row r="13" customFormat="false" ht="24" hidden="false" customHeight="true" outlineLevel="0" collapsed="false">
      <c r="A13" s="14" t="n">
        <v>11</v>
      </c>
      <c r="B13" s="14" t="s">
        <v>143</v>
      </c>
      <c r="C13" s="23" t="s">
        <v>148</v>
      </c>
      <c r="D13" s="14" t="s">
        <v>149</v>
      </c>
    </row>
    <row r="14" customFormat="false" ht="24" hidden="false" customHeight="true" outlineLevel="0" collapsed="false">
      <c r="A14" s="38" t="n">
        <v>12</v>
      </c>
      <c r="B14" s="39" t="s">
        <v>150</v>
      </c>
      <c r="C14" s="38" t="s">
        <v>151</v>
      </c>
      <c r="D14" s="38" t="s">
        <v>145</v>
      </c>
    </row>
    <row r="15" customFormat="false" ht="24" hidden="false" customHeight="true" outlineLevel="0" collapsed="false">
      <c r="A15" s="14" t="n">
        <v>13</v>
      </c>
      <c r="B15" s="23" t="s">
        <v>150</v>
      </c>
      <c r="C15" s="14" t="s">
        <v>152</v>
      </c>
      <c r="D15" s="14" t="s">
        <v>153</v>
      </c>
    </row>
    <row r="16" customFormat="false" ht="24" hidden="false" customHeight="true" outlineLevel="0" collapsed="false">
      <c r="A16" s="38" t="n">
        <v>14</v>
      </c>
      <c r="B16" s="39" t="s">
        <v>150</v>
      </c>
      <c r="C16" s="38" t="s">
        <v>154</v>
      </c>
      <c r="D16" s="38" t="s">
        <v>155</v>
      </c>
    </row>
    <row r="17" customFormat="false" ht="24" hidden="false" customHeight="true" outlineLevel="0" collapsed="false">
      <c r="A17" s="14" t="n">
        <v>15</v>
      </c>
      <c r="B17" s="23" t="s">
        <v>150</v>
      </c>
      <c r="C17" s="23" t="s">
        <v>156</v>
      </c>
      <c r="D17" s="14" t="s">
        <v>153</v>
      </c>
    </row>
    <row r="18" customFormat="false" ht="24" hidden="false" customHeight="true" outlineLevel="0" collapsed="false">
      <c r="A18" s="38" t="n">
        <v>16</v>
      </c>
      <c r="B18" s="39" t="s">
        <v>150</v>
      </c>
      <c r="C18" s="39" t="s">
        <v>157</v>
      </c>
      <c r="D18" s="38" t="s">
        <v>158</v>
      </c>
    </row>
    <row r="19" customFormat="false" ht="24" hidden="false" customHeight="true" outlineLevel="0" collapsed="false">
      <c r="A19" s="14" t="n">
        <v>17</v>
      </c>
      <c r="B19" s="23" t="s">
        <v>159</v>
      </c>
      <c r="C19" s="14" t="s">
        <v>160</v>
      </c>
      <c r="D19" s="14" t="s">
        <v>161</v>
      </c>
    </row>
    <row r="20" customFormat="false" ht="24" hidden="false" customHeight="true" outlineLevel="0" collapsed="false">
      <c r="A20" s="38" t="n">
        <v>18</v>
      </c>
      <c r="B20" s="39" t="s">
        <v>159</v>
      </c>
      <c r="C20" s="39" t="s">
        <v>162</v>
      </c>
      <c r="D20" s="38" t="s">
        <v>133</v>
      </c>
    </row>
    <row r="21" customFormat="false" ht="24" hidden="false" customHeight="true" outlineLevel="0" collapsed="false">
      <c r="A21" s="14" t="n">
        <v>19</v>
      </c>
      <c r="B21" s="23" t="s">
        <v>47</v>
      </c>
      <c r="C21" s="14" t="s">
        <v>163</v>
      </c>
      <c r="D21" s="14" t="s">
        <v>164</v>
      </c>
    </row>
    <row r="22" customFormat="false" ht="24" hidden="false" customHeight="true" outlineLevel="0" collapsed="false">
      <c r="A22" s="38" t="n">
        <v>20</v>
      </c>
      <c r="B22" s="39" t="s">
        <v>47</v>
      </c>
      <c r="C22" s="38" t="s">
        <v>165</v>
      </c>
      <c r="D22" s="38" t="s">
        <v>164</v>
      </c>
    </row>
    <row r="23" customFormat="false" ht="24" hidden="false" customHeight="true" outlineLevel="0" collapsed="false">
      <c r="A23" s="14" t="n">
        <v>21</v>
      </c>
      <c r="B23" s="23" t="s">
        <v>47</v>
      </c>
      <c r="C23" s="14" t="s">
        <v>166</v>
      </c>
      <c r="D23" s="14" t="s">
        <v>164</v>
      </c>
    </row>
    <row r="24" customFormat="false" ht="24" hidden="false" customHeight="true" outlineLevel="0" collapsed="false">
      <c r="A24" s="38" t="n">
        <v>22</v>
      </c>
      <c r="B24" s="39" t="s">
        <v>47</v>
      </c>
      <c r="C24" s="38" t="s">
        <v>167</v>
      </c>
      <c r="D24" s="38" t="s">
        <v>164</v>
      </c>
    </row>
    <row r="25" customFormat="false" ht="24" hidden="false" customHeight="true" outlineLevel="0" collapsed="false">
      <c r="A25" s="14" t="n">
        <v>23</v>
      </c>
      <c r="B25" s="23" t="s">
        <v>47</v>
      </c>
      <c r="C25" s="23" t="s">
        <v>168</v>
      </c>
      <c r="D25" s="14" t="s">
        <v>169</v>
      </c>
    </row>
    <row r="26" customFormat="false" ht="24" hidden="false" customHeight="true" outlineLevel="0" collapsed="false">
      <c r="A26" s="38" t="n">
        <v>24</v>
      </c>
      <c r="B26" s="38" t="s">
        <v>63</v>
      </c>
      <c r="C26" s="38" t="s">
        <v>170</v>
      </c>
      <c r="D26" s="38" t="s">
        <v>171</v>
      </c>
    </row>
    <row r="27" customFormat="false" ht="24" hidden="false" customHeight="true" outlineLevel="0" collapsed="false">
      <c r="A27" s="14" t="n">
        <v>25</v>
      </c>
      <c r="B27" s="14" t="s">
        <v>63</v>
      </c>
      <c r="C27" s="14" t="s">
        <v>172</v>
      </c>
      <c r="D27" s="14" t="s">
        <v>173</v>
      </c>
    </row>
    <row r="28" customFormat="false" ht="24" hidden="false" customHeight="true" outlineLevel="0" collapsed="false">
      <c r="A28" s="38" t="n">
        <v>26</v>
      </c>
      <c r="B28" s="38" t="s">
        <v>63</v>
      </c>
      <c r="C28" s="38" t="s">
        <v>174</v>
      </c>
      <c r="D28" s="38" t="s">
        <v>173</v>
      </c>
    </row>
    <row r="29" customFormat="false" ht="24" hidden="false" customHeight="true" outlineLevel="0" collapsed="false">
      <c r="A29" s="14" t="n">
        <v>27</v>
      </c>
      <c r="B29" s="14" t="s">
        <v>63</v>
      </c>
      <c r="C29" s="14" t="s">
        <v>175</v>
      </c>
      <c r="D29" s="14" t="s">
        <v>176</v>
      </c>
    </row>
    <row r="30" customFormat="false" ht="24" hidden="false" customHeight="true" outlineLevel="0" collapsed="false">
      <c r="A30" s="38" t="n">
        <v>28</v>
      </c>
      <c r="B30" s="38" t="s">
        <v>177</v>
      </c>
      <c r="C30" s="39" t="s">
        <v>178</v>
      </c>
      <c r="D30" s="38" t="s">
        <v>179</v>
      </c>
    </row>
    <row r="31" customFormat="false" ht="24" hidden="false" customHeight="true" outlineLevel="0" collapsed="false">
      <c r="A31" s="14" t="n">
        <v>29</v>
      </c>
      <c r="B31" s="14" t="s">
        <v>177</v>
      </c>
      <c r="C31" s="14" t="s">
        <v>180</v>
      </c>
      <c r="D31" s="14" t="s">
        <v>164</v>
      </c>
    </row>
    <row r="32" customFormat="false" ht="24" hidden="false" customHeight="true" outlineLevel="0" collapsed="false">
      <c r="A32" s="38" t="n">
        <v>30</v>
      </c>
      <c r="B32" s="38" t="s">
        <v>177</v>
      </c>
      <c r="C32" s="38" t="s">
        <v>181</v>
      </c>
      <c r="D32" s="38" t="s">
        <v>164</v>
      </c>
    </row>
    <row r="33" customFormat="false" ht="24" hidden="false" customHeight="true" outlineLevel="0" collapsed="false">
      <c r="A33" s="14" t="n">
        <v>31</v>
      </c>
      <c r="B33" s="14" t="s">
        <v>177</v>
      </c>
      <c r="C33" s="14" t="s">
        <v>182</v>
      </c>
      <c r="D33" s="14" t="s">
        <v>142</v>
      </c>
    </row>
    <row r="34" customFormat="false" ht="24" hidden="false" customHeight="true" outlineLevel="0" collapsed="false">
      <c r="A34" s="38" t="n">
        <v>32</v>
      </c>
      <c r="B34" s="38" t="s">
        <v>177</v>
      </c>
      <c r="C34" s="38" t="s">
        <v>183</v>
      </c>
      <c r="D34" s="38" t="s">
        <v>149</v>
      </c>
    </row>
    <row r="35" customFormat="false" ht="24" hidden="false" customHeight="true" outlineLevel="0" collapsed="false">
      <c r="A35" s="14" t="n">
        <v>33</v>
      </c>
      <c r="B35" s="14" t="s">
        <v>177</v>
      </c>
      <c r="C35" s="14" t="s">
        <v>184</v>
      </c>
      <c r="D35" s="14" t="s">
        <v>185</v>
      </c>
    </row>
    <row r="36" customFormat="false" ht="24" hidden="false" customHeight="true" outlineLevel="0" collapsed="false">
      <c r="A36" s="38" t="n">
        <v>34</v>
      </c>
      <c r="B36" s="38" t="s">
        <v>177</v>
      </c>
      <c r="C36" s="38" t="s">
        <v>186</v>
      </c>
      <c r="D36" s="38" t="s">
        <v>185</v>
      </c>
    </row>
    <row r="37" customFormat="false" ht="24" hidden="false" customHeight="true" outlineLevel="0" collapsed="false">
      <c r="A37" s="14" t="n">
        <v>35</v>
      </c>
      <c r="B37" s="14" t="s">
        <v>177</v>
      </c>
      <c r="C37" s="23" t="s">
        <v>187</v>
      </c>
      <c r="D37" s="14" t="s">
        <v>188</v>
      </c>
    </row>
    <row r="38" customFormat="false" ht="24" hidden="false" customHeight="true" outlineLevel="0" collapsed="false">
      <c r="A38" s="38" t="n">
        <v>36</v>
      </c>
      <c r="B38" s="38" t="s">
        <v>189</v>
      </c>
      <c r="C38" s="38" t="s">
        <v>190</v>
      </c>
      <c r="D38" s="38" t="s">
        <v>191</v>
      </c>
    </row>
    <row r="39" customFormat="false" ht="24" hidden="false" customHeight="true" outlineLevel="0" collapsed="false">
      <c r="A39" s="14" t="n">
        <v>37</v>
      </c>
      <c r="B39" s="14" t="s">
        <v>189</v>
      </c>
      <c r="C39" s="14" t="s">
        <v>192</v>
      </c>
      <c r="D39" s="14" t="s">
        <v>176</v>
      </c>
    </row>
    <row r="40" customFormat="false" ht="24" hidden="false" customHeight="true" outlineLevel="0" collapsed="false">
      <c r="A40" s="38" t="n">
        <v>38</v>
      </c>
      <c r="B40" s="38" t="s">
        <v>189</v>
      </c>
      <c r="C40" s="38" t="s">
        <v>193</v>
      </c>
      <c r="D40" s="38" t="s">
        <v>191</v>
      </c>
    </row>
    <row r="41" customFormat="false" ht="24" hidden="false" customHeight="true" outlineLevel="0" collapsed="false">
      <c r="A41" s="14" t="n">
        <v>39</v>
      </c>
      <c r="B41" s="23" t="s">
        <v>194</v>
      </c>
      <c r="C41" s="23" t="s">
        <v>195</v>
      </c>
      <c r="D41" s="14" t="s">
        <v>149</v>
      </c>
    </row>
    <row r="42" customFormat="false" ht="24" hidden="false" customHeight="true" outlineLevel="0" collapsed="false">
      <c r="A42" s="38" t="n">
        <v>40</v>
      </c>
      <c r="B42" s="39" t="s">
        <v>194</v>
      </c>
      <c r="C42" s="39" t="s">
        <v>196</v>
      </c>
      <c r="D42" s="38" t="s">
        <v>149</v>
      </c>
    </row>
    <row r="43" customFormat="false" ht="24" hidden="false" customHeight="true" outlineLevel="0" collapsed="false">
      <c r="A43" s="14" t="n">
        <v>41</v>
      </c>
      <c r="B43" s="23" t="s">
        <v>194</v>
      </c>
      <c r="C43" s="23" t="s">
        <v>197</v>
      </c>
      <c r="D43" s="14" t="s">
        <v>149</v>
      </c>
    </row>
    <row r="44" customFormat="false" ht="24" hidden="false" customHeight="true" outlineLevel="0" collapsed="false">
      <c r="A44" s="38" t="n">
        <v>42</v>
      </c>
      <c r="B44" s="39" t="s">
        <v>194</v>
      </c>
      <c r="C44" s="38" t="s">
        <v>198</v>
      </c>
      <c r="D44" s="38" t="s">
        <v>149</v>
      </c>
    </row>
    <row r="45" customFormat="false" ht="24" hidden="false" customHeight="true" outlineLevel="0" collapsed="false">
      <c r="A45" s="14" t="n">
        <v>43</v>
      </c>
      <c r="B45" s="23" t="s">
        <v>194</v>
      </c>
      <c r="C45" s="23" t="s">
        <v>199</v>
      </c>
      <c r="D45" s="14" t="s">
        <v>149</v>
      </c>
    </row>
    <row r="46" customFormat="false" ht="24" hidden="false" customHeight="true" outlineLevel="0" collapsed="false">
      <c r="A46" s="38" t="n">
        <v>44</v>
      </c>
      <c r="B46" s="39" t="s">
        <v>194</v>
      </c>
      <c r="C46" s="39" t="s">
        <v>200</v>
      </c>
      <c r="D46" s="38" t="s">
        <v>149</v>
      </c>
    </row>
    <row r="47" customFormat="false" ht="24" hidden="false" customHeight="true" outlineLevel="0" collapsed="false">
      <c r="A47" s="14" t="n">
        <v>45</v>
      </c>
      <c r="B47" s="23" t="s">
        <v>194</v>
      </c>
      <c r="C47" s="14" t="s">
        <v>201</v>
      </c>
      <c r="D47" s="14" t="s">
        <v>149</v>
      </c>
    </row>
    <row r="48" customFormat="false" ht="24" hidden="false" customHeight="true" outlineLevel="0" collapsed="false">
      <c r="A48" s="38" t="n">
        <v>46</v>
      </c>
      <c r="B48" s="39" t="s">
        <v>194</v>
      </c>
      <c r="C48" s="38" t="s">
        <v>202</v>
      </c>
      <c r="D48" s="38" t="s">
        <v>149</v>
      </c>
    </row>
    <row r="49" customFormat="false" ht="24" hidden="false" customHeight="true" outlineLevel="0" collapsed="false">
      <c r="A49" s="14" t="n">
        <v>47</v>
      </c>
      <c r="B49" s="23" t="s">
        <v>203</v>
      </c>
      <c r="C49" s="14" t="s">
        <v>204</v>
      </c>
      <c r="D49" s="14" t="s">
        <v>153</v>
      </c>
    </row>
    <row r="50" customFormat="false" ht="24" hidden="false" customHeight="true" outlineLevel="0" collapsed="false">
      <c r="A50" s="38" t="n">
        <v>48</v>
      </c>
      <c r="B50" s="39" t="s">
        <v>203</v>
      </c>
      <c r="C50" s="38" t="s">
        <v>205</v>
      </c>
      <c r="D50" s="38" t="s">
        <v>206</v>
      </c>
    </row>
    <row r="51" customFormat="false" ht="24" hidden="false" customHeight="true" outlineLevel="0" collapsed="false">
      <c r="A51" s="14" t="n">
        <v>49</v>
      </c>
      <c r="B51" s="23" t="s">
        <v>203</v>
      </c>
      <c r="C51" s="14" t="s">
        <v>207</v>
      </c>
      <c r="D51" s="14" t="s">
        <v>179</v>
      </c>
    </row>
    <row r="52" customFormat="false" ht="24" hidden="false" customHeight="true" outlineLevel="0" collapsed="false">
      <c r="A52" s="38" t="n">
        <v>50</v>
      </c>
      <c r="B52" s="39" t="s">
        <v>208</v>
      </c>
      <c r="C52" s="38" t="s">
        <v>209</v>
      </c>
      <c r="D52" s="38" t="s">
        <v>210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50"/>
    <col collapsed="false" customWidth="true" hidden="false" outlineLevel="0" max="4" min="4" style="0" width="15"/>
  </cols>
  <sheetData>
    <row r="1" customFormat="false" ht="36" hidden="false" customHeight="true" outlineLevel="0" collapsed="false">
      <c r="A1" s="40" t="s">
        <v>211</v>
      </c>
      <c r="B1" s="40"/>
      <c r="C1" s="40"/>
      <c r="D1" s="40"/>
    </row>
    <row r="2" customFormat="false" ht="15" hidden="false" customHeight="false" outlineLevel="0" collapsed="false">
      <c r="A2" s="37" t="s">
        <v>3</v>
      </c>
      <c r="B2" s="41" t="s">
        <v>212</v>
      </c>
      <c r="C2" s="41" t="s">
        <v>213</v>
      </c>
      <c r="D2" s="41" t="s">
        <v>214</v>
      </c>
    </row>
    <row r="3" customFormat="false" ht="31.5" hidden="false" customHeight="true" outlineLevel="0" collapsed="false">
      <c r="A3" s="42" t="s">
        <v>215</v>
      </c>
      <c r="B3" s="43" t="s">
        <v>216</v>
      </c>
      <c r="C3" s="43" t="s">
        <v>217</v>
      </c>
      <c r="D3" s="43" t="s">
        <v>218</v>
      </c>
    </row>
    <row r="4" customFormat="false" ht="31.5" hidden="false" customHeight="true" outlineLevel="0" collapsed="false">
      <c r="A4" s="42" t="s">
        <v>219</v>
      </c>
      <c r="B4" s="43" t="s">
        <v>220</v>
      </c>
      <c r="C4" s="43" t="s">
        <v>221</v>
      </c>
      <c r="D4" s="43" t="s">
        <v>222</v>
      </c>
    </row>
    <row r="5" customFormat="false" ht="31.5" hidden="false" customHeight="true" outlineLevel="0" collapsed="false">
      <c r="A5" s="42" t="s">
        <v>223</v>
      </c>
      <c r="B5" s="43" t="s">
        <v>220</v>
      </c>
      <c r="C5" s="43" t="s">
        <v>224</v>
      </c>
      <c r="D5" s="44" t="s">
        <v>225</v>
      </c>
    </row>
    <row r="6" customFormat="false" ht="31.5" hidden="false" customHeight="true" outlineLevel="0" collapsed="false">
      <c r="A6" s="42" t="s">
        <v>226</v>
      </c>
      <c r="B6" s="43" t="s">
        <v>227</v>
      </c>
      <c r="C6" s="43" t="s">
        <v>228</v>
      </c>
      <c r="D6" s="43" t="s">
        <v>229</v>
      </c>
    </row>
    <row r="7" customFormat="false" ht="31.5" hidden="false" customHeight="true" outlineLevel="0" collapsed="false">
      <c r="A7" s="42" t="s">
        <v>230</v>
      </c>
      <c r="B7" s="43" t="s">
        <v>220</v>
      </c>
      <c r="C7" s="44" t="s">
        <v>231</v>
      </c>
      <c r="D7" s="43" t="s">
        <v>232</v>
      </c>
    </row>
    <row r="8" customFormat="false" ht="31.5" hidden="false" customHeight="true" outlineLevel="0" collapsed="false">
      <c r="A8" s="42" t="s">
        <v>233</v>
      </c>
      <c r="B8" s="43" t="s">
        <v>220</v>
      </c>
      <c r="C8" s="43" t="s">
        <v>234</v>
      </c>
      <c r="D8" s="43" t="s">
        <v>235</v>
      </c>
    </row>
    <row r="9" customFormat="false" ht="31.5" hidden="false" customHeight="true" outlineLevel="0" collapsed="false">
      <c r="A9" s="45"/>
      <c r="B9" s="45"/>
      <c r="C9" s="45"/>
      <c r="D9" s="43"/>
    </row>
    <row r="10" customFormat="false" ht="31.5" hidden="false" customHeight="true" outlineLevel="0" collapsed="false">
      <c r="A10" s="46" t="s">
        <v>236</v>
      </c>
      <c r="B10" s="43" t="s">
        <v>237</v>
      </c>
      <c r="C10" s="43" t="s">
        <v>238</v>
      </c>
      <c r="D10" s="4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2026-03-10T08:52:03Z</dcterms:created>
  <dc:creator>openpyxl</dc:creator>
  <dc:description/>
  <dc:language>en-US</dc:language>
  <cp:lastModifiedBy/>
  <dcterms:modified xsi:type="dcterms:W3CDTF">2026-03-10T08:52:03Z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