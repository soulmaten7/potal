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금제 비교" sheetId="1" state="visible" r:id="rId3"/>
    <sheet name="수익 시뮬레이션" sheetId="2" state="visible" r:id="rId4"/>
    <sheet name="전략 인사이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<sst xmlns="http://schemas.openxmlformats.org/spreadsheetml/2006/main" count="322" uniqueCount="149">
  <si>
    <r>
      <rPr>
        <b val="true"/>
        <sz val="14"/>
        <color rgb="FFFFFFFF"/>
        <rFont val="Arial"/>
        <family val="0"/>
        <charset val="1"/>
      </rPr>
      <t xml:space="preserve">POTAL </t>
    </r>
    <r>
      <rPr>
        <b val="true"/>
        <sz val="14"/>
        <color rgb="FFFFFFFF"/>
        <rFont val="DejaVu Sans"/>
        <family val="2"/>
      </rPr>
      <t xml:space="preserve">요금제 전략 분석 — </t>
    </r>
    <r>
      <rPr>
        <b val="true"/>
        <sz val="14"/>
        <color rgb="FFFFFFFF"/>
        <rFont val="Arial"/>
        <family val="0"/>
        <charset val="1"/>
      </rPr>
      <t xml:space="preserve">Pro </t>
    </r>
    <r>
      <rPr>
        <b val="true"/>
        <sz val="14"/>
        <color rgb="FFFFFFFF"/>
        <rFont val="DejaVu Sans"/>
        <family val="2"/>
      </rPr>
      <t xml:space="preserve">기능 개방 시 수익 구조 변화</t>
    </r>
  </si>
  <si>
    <r>
      <rPr>
        <sz val="9"/>
        <color rgb="FF64748B"/>
        <rFont val="DejaVu Sans"/>
        <family val="2"/>
      </rPr>
      <t xml:space="preserve">분석일</t>
    </r>
    <r>
      <rPr>
        <sz val="9"/>
        <color rgb="FF64748B"/>
        <rFont val="Arial"/>
        <family val="0"/>
        <charset val="1"/>
      </rPr>
      <t xml:space="preserve">: 2026-03-14 | </t>
    </r>
    <r>
      <rPr>
        <sz val="9"/>
        <color rgb="FF64748B"/>
        <rFont val="DejaVu Sans"/>
        <family val="2"/>
      </rPr>
      <t xml:space="preserve">전략</t>
    </r>
    <r>
      <rPr>
        <sz val="9"/>
        <color rgb="FF64748B"/>
        <rFont val="Arial"/>
        <family val="0"/>
        <charset val="1"/>
      </rPr>
      <t xml:space="preserve">: 'Grow With You' — </t>
    </r>
    <r>
      <rPr>
        <sz val="9"/>
        <color rgb="FF64748B"/>
        <rFont val="DejaVu Sans"/>
        <family val="2"/>
      </rPr>
      <t xml:space="preserve">스타트업 동반 성장 플랫폼</t>
    </r>
  </si>
  <si>
    <r>
      <rPr>
        <b val="true"/>
        <sz val="10"/>
        <color rgb="FFFFFFFF"/>
        <rFont val="Arial"/>
        <family val="0"/>
        <charset val="1"/>
      </rPr>
      <t xml:space="preserve">A. </t>
    </r>
    <r>
      <rPr>
        <b val="true"/>
        <sz val="10"/>
        <color rgb="FFFFFFFF"/>
        <rFont val="DejaVu Sans"/>
        <family val="2"/>
      </rPr>
      <t xml:space="preserve">현재 요금제 구조</t>
    </r>
  </si>
  <si>
    <t xml:space="preserve">기능</t>
  </si>
  <si>
    <t xml:space="preserve">Free ($0)</t>
  </si>
  <si>
    <t xml:space="preserve">Basic ($20)</t>
  </si>
  <si>
    <t xml:space="preserve">Pro ($80)</t>
  </si>
  <si>
    <t xml:space="preserve">Enterprise ($300)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</si>
  <si>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</si>
  <si>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t xml:space="preserve">100</t>
  </si>
  <si>
    <t xml:space="preserve">2,000</t>
  </si>
  <si>
    <t xml:space="preserve">10,000</t>
  </si>
  <si>
    <t xml:space="preserve">50,000+</t>
  </si>
  <si>
    <t xml:space="preserve">위젯 임베드</t>
  </si>
  <si>
    <t xml:space="preserve">Light only</t>
  </si>
  <si>
    <t xml:space="preserve">All themes</t>
  </si>
  <si>
    <t xml:space="preserve">Custom branding</t>
  </si>
  <si>
    <t xml:space="preserve">White-label</t>
  </si>
  <si>
    <r>
      <rPr>
        <sz val="10"/>
        <rFont val="Arial"/>
        <family val="0"/>
        <charset val="1"/>
      </rPr>
      <t xml:space="preserve">HS Code </t>
    </r>
    <r>
      <rPr>
        <sz val="10"/>
        <rFont val="DejaVu Sans"/>
        <family val="2"/>
      </rPr>
      <t xml:space="preserve">분류 </t>
    </r>
    <r>
      <rPr>
        <sz val="10"/>
        <rFont val="Arial"/>
        <family val="0"/>
        <charset val="1"/>
      </rPr>
      <t xml:space="preserve">(AI)</t>
    </r>
  </si>
  <si>
    <t xml:space="preserve">✓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</si>
  <si>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관세 계산</t>
    </r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</si>
  <si>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자리 </t>
    </r>
    <r>
      <rPr>
        <sz val="10"/>
        <rFont val="Arial"/>
        <family val="0"/>
        <charset val="1"/>
      </rPr>
      <t xml:space="preserve">HS Code</t>
    </r>
  </si>
  <si>
    <t xml:space="preserve">—</t>
  </si>
  <si>
    <t xml:space="preserve">실시간 환율</t>
  </si>
  <si>
    <r>
      <rPr>
        <sz val="10"/>
        <rFont val="Arial"/>
        <family val="0"/>
        <charset val="1"/>
      </rPr>
      <t xml:space="preserve">FTA/</t>
    </r>
    <r>
      <rPr>
        <sz val="10"/>
        <rFont val="DejaVu Sans"/>
        <family val="2"/>
      </rPr>
      <t xml:space="preserve">특혜세율 감지</t>
    </r>
  </si>
  <si>
    <r>
      <rPr>
        <sz val="10"/>
        <rFont val="DejaVu Sans"/>
        <family val="2"/>
      </rPr>
      <t xml:space="preserve">반덤핑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상계관세 알림</t>
    </r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</si>
  <si>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개국 지방세</t>
    </r>
  </si>
  <si>
    <r>
      <rPr>
        <sz val="10"/>
        <rFont val="Arial"/>
        <family val="0"/>
        <charset val="1"/>
      </rPr>
      <t xml:space="preserve">30+</t>
    </r>
    <r>
      <rPr>
        <sz val="10"/>
        <rFont val="DejaVu Sans"/>
        <family val="2"/>
      </rPr>
      <t xml:space="preserve">언어 지원</t>
    </r>
  </si>
  <si>
    <r>
      <rPr>
        <sz val="10"/>
        <rFont val="Arial"/>
        <family val="0"/>
        <charset val="1"/>
      </rPr>
      <t xml:space="preserve">Batch API (100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</si>
  <si>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Webhook </t>
    </r>
    <r>
      <rPr>
        <sz val="10"/>
        <rFont val="DejaVu Sans"/>
        <family val="2"/>
      </rPr>
      <t xml:space="preserve">알림</t>
    </r>
  </si>
  <si>
    <t xml:space="preserve">고급 분석 대시보드</t>
  </si>
  <si>
    <r>
      <rPr>
        <sz val="10"/>
        <rFont val="Arial"/>
        <family val="0"/>
        <charset val="1"/>
      </rPr>
      <t xml:space="preserve">SSO / </t>
    </r>
    <r>
      <rPr>
        <sz val="10"/>
        <rFont val="DejaVu Sans"/>
        <family val="2"/>
      </rPr>
      <t xml:space="preserve">팀 관리</t>
    </r>
  </si>
  <si>
    <r>
      <rPr>
        <sz val="10"/>
        <rFont val="DejaVu Sans"/>
        <family val="2"/>
      </rPr>
      <t xml:space="preserve">전용 인프라 </t>
    </r>
    <r>
      <rPr>
        <sz val="10"/>
        <rFont val="Arial"/>
        <family val="0"/>
        <charset val="1"/>
      </rPr>
      <t xml:space="preserve">/ SLA</t>
    </r>
  </si>
  <si>
    <t xml:space="preserve">전담 매니저</t>
  </si>
  <si>
    <r>
      <rPr>
        <b val="true"/>
        <sz val="10"/>
        <color rgb="FFFFFFFF"/>
        <rFont val="Arial"/>
        <family val="0"/>
        <charset val="1"/>
      </rPr>
      <t xml:space="preserve">B. </t>
    </r>
    <r>
      <rPr>
        <b val="true"/>
        <sz val="10"/>
        <color rgb="FFFFFFFF"/>
        <rFont val="DejaVu Sans"/>
        <family val="2"/>
      </rPr>
      <t xml:space="preserve">제안 요금제 구조 — </t>
    </r>
    <r>
      <rPr>
        <b val="true"/>
        <sz val="10"/>
        <color rgb="FFFFFFFF"/>
        <rFont val="Arial"/>
        <family val="0"/>
        <charset val="1"/>
      </rPr>
      <t xml:space="preserve">Pro </t>
    </r>
    <r>
      <rPr>
        <b val="true"/>
        <sz val="10"/>
        <color rgb="FFFFFFFF"/>
        <rFont val="DejaVu Sans"/>
        <family val="2"/>
      </rPr>
      <t xml:space="preserve">기능을 </t>
    </r>
    <r>
      <rPr>
        <b val="true"/>
        <sz val="10"/>
        <color rgb="FFFFFFFF"/>
        <rFont val="Arial"/>
        <family val="0"/>
        <charset val="1"/>
      </rPr>
      <t xml:space="preserve">Free/Basic</t>
    </r>
    <r>
      <rPr>
        <b val="true"/>
        <sz val="10"/>
        <color rgb="FFFFFFFF"/>
        <rFont val="DejaVu Sans"/>
        <family val="2"/>
      </rPr>
      <t xml:space="preserve">에 개방</t>
    </r>
  </si>
  <si>
    <t xml:space="preserve">All themes ✨</t>
  </si>
  <si>
    <t xml:space="preserve">✓ ✨</t>
  </si>
  <si>
    <r>
      <rPr>
        <i val="true"/>
        <sz val="9"/>
        <color rgb="FF059669"/>
        <rFont val="Arial"/>
        <family val="0"/>
        <charset val="1"/>
      </rPr>
      <t xml:space="preserve">✨ = </t>
    </r>
    <r>
      <rPr>
        <i val="true"/>
        <sz val="9"/>
        <color rgb="FF059669"/>
        <rFont val="DejaVu Sans"/>
        <family val="2"/>
      </rPr>
      <t xml:space="preserve">신규 개방 기능 </t>
    </r>
    <r>
      <rPr>
        <i val="true"/>
        <sz val="9"/>
        <color rgb="FF059669"/>
        <rFont val="Arial"/>
        <family val="0"/>
        <charset val="1"/>
      </rPr>
      <t xml:space="preserve">(</t>
    </r>
    <r>
      <rPr>
        <i val="true"/>
        <sz val="9"/>
        <color rgb="FF059669"/>
        <rFont val="DejaVu Sans"/>
        <family val="2"/>
      </rPr>
      <t xml:space="preserve">기존 상위 플랜에서 하위로 이동</t>
    </r>
    <r>
      <rPr>
        <i val="true"/>
        <sz val="9"/>
        <color rgb="FF059669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</si>
  <si>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C. </t>
    </r>
    <r>
      <rPr>
        <b val="true"/>
        <sz val="10"/>
        <color rgb="FFFFFFFF"/>
        <rFont val="DejaVu Sans"/>
        <family val="2"/>
      </rPr>
      <t xml:space="preserve">플랜별 차별화 포인트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제안 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</si>
  <si>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업그레이드 경로</t>
  </si>
  <si>
    <t xml:space="preserve">볼륨 차이</t>
  </si>
  <si>
    <t xml:space="preserve">기능 차이</t>
  </si>
  <si>
    <t xml:space="preserve">핵심 동기</t>
  </si>
  <si>
    <t xml:space="preserve">Free vs Basic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</si>
  <si>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호출량 </t>
    </r>
    <r>
      <rPr>
        <sz val="10"/>
        <rFont val="Arial"/>
        <family val="0"/>
        <charset val="1"/>
      </rPr>
      <t xml:space="preserve">(100 → 2,000)</t>
    </r>
  </si>
  <si>
    <r>
      <rPr>
        <sz val="10"/>
        <rFont val="Arial"/>
        <family val="0"/>
        <charset val="1"/>
      </rPr>
      <t xml:space="preserve">Batch API, Webhook, </t>
    </r>
    <r>
      <rPr>
        <sz val="10"/>
        <rFont val="DejaVu Sans"/>
        <family val="2"/>
      </rPr>
      <t xml:space="preserve">분석 대시보드</t>
    </r>
  </si>
  <si>
    <r>
      <rPr>
        <sz val="10"/>
        <rFont val="DejaVu Sans"/>
        <family val="2"/>
      </rPr>
      <t xml:space="preserve">볼륨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자동화 도구</t>
    </r>
  </si>
  <si>
    <t xml:space="preserve">Basic vs Pro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</si>
  <si>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호출량 </t>
    </r>
    <r>
      <rPr>
        <sz val="10"/>
        <rFont val="Arial"/>
        <family val="0"/>
        <charset val="1"/>
      </rPr>
      <t xml:space="preserve">(2,000 → 10,000)</t>
    </r>
  </si>
  <si>
    <r>
      <rPr>
        <sz val="10"/>
        <rFont val="Arial"/>
        <family val="0"/>
        <charset val="1"/>
      </rPr>
      <t xml:space="preserve">Custom </t>
    </r>
    <r>
      <rPr>
        <sz val="10"/>
        <rFont val="DejaVu Sans"/>
        <family val="2"/>
      </rPr>
      <t xml:space="preserve">위젯 브랜딩</t>
    </r>
  </si>
  <si>
    <r>
      <rPr>
        <sz val="10"/>
        <rFont val="DejaVu Sans"/>
        <family val="2"/>
      </rPr>
      <t xml:space="preserve">볼륨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화이트라벨링</t>
    </r>
  </si>
  <si>
    <t xml:space="preserve">Pro vs Enterprise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</si>
  <si>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호출량 </t>
    </r>
    <r>
      <rPr>
        <sz val="10"/>
        <rFont val="Arial"/>
        <family val="0"/>
        <charset val="1"/>
      </rPr>
      <t xml:space="preserve">(10,000 → 50,000+)</t>
    </r>
  </si>
  <si>
    <r>
      <rPr>
        <sz val="10"/>
        <rFont val="Arial"/>
        <family val="0"/>
        <charset val="1"/>
      </rPr>
      <t xml:space="preserve">SSO, SLA, </t>
    </r>
    <r>
      <rPr>
        <sz val="10"/>
        <rFont val="DejaVu Sans"/>
        <family val="2"/>
      </rPr>
      <t xml:space="preserve">전담 매니저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전용 인프라</t>
    </r>
  </si>
  <si>
    <r>
      <rPr>
        <sz val="10"/>
        <rFont val="DejaVu Sans"/>
        <family val="2"/>
      </rPr>
      <t xml:space="preserve">볼륨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엔터프라이즈 보안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서비스</t>
    </r>
  </si>
  <si>
    <r>
      <rPr>
        <b val="true"/>
        <sz val="13"/>
        <color rgb="FFFFFFFF"/>
        <rFont val="Arial"/>
        <family val="0"/>
        <charset val="1"/>
      </rPr>
      <t xml:space="preserve">12</t>
    </r>
    <r>
      <rPr>
        <b val="true"/>
        <sz val="13"/>
        <color rgb="FFFFFFFF"/>
        <rFont val="DejaVu Sans"/>
        <family val="2"/>
      </rPr>
      <t xml:space="preserve">개월 수익 시뮬레이션 — 현재 구조 </t>
    </r>
    <r>
      <rPr>
        <b val="true"/>
        <sz val="13"/>
        <color rgb="FFFFFFFF"/>
        <rFont val="Arial"/>
        <family val="0"/>
        <charset val="1"/>
      </rPr>
      <t xml:space="preserve">vs 'Grow With You' </t>
    </r>
    <r>
      <rPr>
        <b val="true"/>
        <sz val="13"/>
        <color rgb="FFFFFFFF"/>
        <rFont val="DejaVu Sans"/>
        <family val="2"/>
      </rPr>
      <t xml:space="preserve">전략</t>
    </r>
  </si>
  <si>
    <r>
      <rPr>
        <b val="true"/>
        <sz val="10"/>
        <color rgb="FFFFFFFF"/>
        <rFont val="DejaVu Sans"/>
        <family val="2"/>
      </rPr>
      <t xml:space="preserve">가정 </t>
    </r>
    <r>
      <rPr>
        <b val="true"/>
        <sz val="10"/>
        <color rgb="FFFFFFFF"/>
        <rFont val="Arial"/>
        <family val="0"/>
        <charset val="1"/>
      </rPr>
      <t xml:space="preserve">(Assumptions) — </t>
    </r>
    <r>
      <rPr>
        <b val="true"/>
        <sz val="10"/>
        <color rgb="FFFFFFFF"/>
        <rFont val="DejaVu Sans"/>
        <family val="2"/>
      </rPr>
      <t xml:space="preserve">파란색 </t>
    </r>
    <r>
      <rPr>
        <b val="true"/>
        <sz val="10"/>
        <color rgb="FFFFFFFF"/>
        <rFont val="Arial"/>
        <family val="0"/>
        <charset val="1"/>
      </rPr>
      <t xml:space="preserve">= </t>
    </r>
    <r>
      <rPr>
        <b val="true"/>
        <sz val="10"/>
        <color rgb="FFFFFFFF"/>
        <rFont val="DejaVu Sans"/>
        <family val="2"/>
      </rPr>
      <t xml:space="preserve">조정 가능한 입력값</t>
    </r>
  </si>
  <si>
    <r>
      <rPr>
        <sz val="10"/>
        <rFont val="DejaVu Sans"/>
        <family val="2"/>
      </rPr>
      <t xml:space="preserve">월간 신규 가입 </t>
    </r>
    <r>
      <rPr>
        <sz val="10"/>
        <rFont val="Arial"/>
        <family val="0"/>
        <charset val="1"/>
      </rPr>
      <t xml:space="preserve">(Free)</t>
    </r>
  </si>
  <si>
    <r>
      <rPr>
        <sz val="10"/>
        <rFont val="DejaVu Sans"/>
        <family val="2"/>
      </rPr>
      <t xml:space="preserve">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</si>
  <si>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r>
      <rPr>
        <sz val="9"/>
        <color rgb="FF64748B"/>
        <rFont val="Arial"/>
        <family val="0"/>
        <charset val="1"/>
      </rPr>
      <t xml:space="preserve">B2B SaaS </t>
    </r>
    <r>
      <rPr>
        <sz val="9"/>
        <color rgb="FF64748B"/>
        <rFont val="DejaVu Sans"/>
        <family val="2"/>
      </rPr>
      <t xml:space="preserve">초기 유기적 유입</t>
    </r>
  </si>
  <si>
    <r>
      <rPr>
        <sz val="10"/>
        <rFont val="Arial"/>
        <family val="0"/>
        <charset val="1"/>
      </rPr>
      <t xml:space="preserve">Free → Basic </t>
    </r>
    <r>
      <rPr>
        <sz val="10"/>
        <rFont val="DejaVu Sans"/>
        <family val="2"/>
      </rPr>
      <t xml:space="preserve">전환율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현재</t>
    </r>
    <r>
      <rPr>
        <sz val="10"/>
        <rFont val="Arial"/>
        <family val="0"/>
        <charset val="1"/>
      </rPr>
      <t xml:space="preserve">)</t>
    </r>
  </si>
  <si>
    <t xml:space="preserve">%</t>
  </si>
  <si>
    <t xml:space="preserve">기능 제한으로 인한 전환</t>
  </si>
  <si>
    <r>
      <rPr>
        <sz val="10"/>
        <rFont val="Arial"/>
        <family val="0"/>
        <charset val="1"/>
      </rPr>
      <t xml:space="preserve">Free → Basic </t>
    </r>
    <r>
      <rPr>
        <sz val="10"/>
        <rFont val="DejaVu Sans"/>
        <family val="2"/>
      </rPr>
      <t xml:space="preserve">전환율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제안</t>
    </r>
    <r>
      <rPr>
        <sz val="10"/>
        <rFont val="Arial"/>
        <family val="0"/>
        <charset val="1"/>
      </rPr>
      <t xml:space="preserve">)</t>
    </r>
  </si>
  <si>
    <r>
      <rPr>
        <sz val="9"/>
        <color rgb="FF64748B"/>
        <rFont val="Arial"/>
        <family val="0"/>
        <charset val="1"/>
      </rPr>
      <t xml:space="preserve">Pro </t>
    </r>
    <r>
      <rPr>
        <sz val="9"/>
        <color rgb="FF64748B"/>
        <rFont val="DejaVu Sans"/>
        <family val="2"/>
      </rPr>
      <t xml:space="preserve">기능 맛본 후 볼륨 업그레이드</t>
    </r>
  </si>
  <si>
    <r>
      <rPr>
        <sz val="10"/>
        <rFont val="Arial"/>
        <family val="0"/>
        <charset val="1"/>
      </rPr>
      <t xml:space="preserve">Basic → Pro </t>
    </r>
    <r>
      <rPr>
        <sz val="10"/>
        <rFont val="DejaVu Sans"/>
        <family val="2"/>
      </rPr>
      <t xml:space="preserve">전환율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현재</t>
    </r>
    <r>
      <rPr>
        <sz val="10"/>
        <rFont val="Arial"/>
        <family val="0"/>
        <charset val="1"/>
      </rPr>
      <t xml:space="preserve">)</t>
    </r>
  </si>
  <si>
    <r>
      <rPr>
        <sz val="9"/>
        <color rgb="FF64748B"/>
        <rFont val="DejaVu Sans"/>
        <family val="2"/>
      </rPr>
      <t xml:space="preserve">분석</t>
    </r>
    <r>
      <rPr>
        <sz val="9"/>
        <color rgb="FF64748B"/>
        <rFont val="Arial"/>
        <family val="0"/>
        <charset val="1"/>
      </rPr>
      <t xml:space="preserve">/</t>
    </r>
    <r>
      <rPr>
        <sz val="9"/>
        <color rgb="FF64748B"/>
        <rFont val="DejaVu Sans"/>
        <family val="2"/>
      </rPr>
      <t xml:space="preserve">배치 필요 시</t>
    </r>
  </si>
  <si>
    <r>
      <rPr>
        <sz val="10"/>
        <rFont val="Arial"/>
        <family val="0"/>
        <charset val="1"/>
      </rPr>
      <t xml:space="preserve">Basic → Pro </t>
    </r>
    <r>
      <rPr>
        <sz val="10"/>
        <rFont val="DejaVu Sans"/>
        <family val="2"/>
      </rPr>
      <t xml:space="preserve">전환율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제안</t>
    </r>
    <r>
      <rPr>
        <sz val="10"/>
        <rFont val="Arial"/>
        <family val="0"/>
        <charset val="1"/>
      </rPr>
      <t xml:space="preserve">)</t>
    </r>
  </si>
  <si>
    <r>
      <rPr>
        <sz val="9"/>
        <color rgb="FF64748B"/>
        <rFont val="DejaVu Sans"/>
        <family val="2"/>
      </rPr>
      <t xml:space="preserve">기능 차이 줄어듦</t>
    </r>
    <r>
      <rPr>
        <sz val="9"/>
        <color rgb="FF64748B"/>
        <rFont val="Arial"/>
        <family val="0"/>
        <charset val="1"/>
      </rPr>
      <t xml:space="preserve">, </t>
    </r>
    <r>
      <rPr>
        <sz val="9"/>
        <color rgb="FF64748B"/>
        <rFont val="DejaVu Sans"/>
        <family val="2"/>
      </rPr>
      <t xml:space="preserve">볼륨만 차이</t>
    </r>
  </si>
  <si>
    <r>
      <rPr>
        <sz val="10"/>
        <rFont val="Arial"/>
        <family val="0"/>
        <charset val="1"/>
      </rPr>
      <t xml:space="preserve">Pro → Enterprise </t>
    </r>
    <r>
      <rPr>
        <sz val="10"/>
        <rFont val="DejaVu Sans"/>
        <family val="2"/>
      </rPr>
      <t xml:space="preserve">전환율</t>
    </r>
  </si>
  <si>
    <r>
      <rPr>
        <sz val="9"/>
        <color rgb="FF64748B"/>
        <rFont val="DejaVu Sans"/>
        <family val="2"/>
      </rPr>
      <t xml:space="preserve">동일 </t>
    </r>
    <r>
      <rPr>
        <sz val="9"/>
        <color rgb="FF64748B"/>
        <rFont val="Arial"/>
        <family val="0"/>
        <charset val="1"/>
      </rPr>
      <t xml:space="preserve">(Enterprise</t>
    </r>
    <r>
      <rPr>
        <sz val="9"/>
        <color rgb="FF64748B"/>
        <rFont val="DejaVu Sans"/>
        <family val="2"/>
      </rPr>
      <t xml:space="preserve">는 서비스 차별화</t>
    </r>
    <r>
      <rPr>
        <sz val="9"/>
        <color rgb="FF64748B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</si>
  <si>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월 가격</t>
    </r>
  </si>
  <si>
    <t xml:space="preserve">$</t>
  </si>
  <si>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월 가격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</si>
  <si>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월 가격</t>
    </r>
  </si>
  <si>
    <r>
      <rPr>
        <sz val="10"/>
        <rFont val="DejaVu Sans"/>
        <family val="2"/>
      </rPr>
      <t xml:space="preserve">월간 이탈률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현재 </t>
    </r>
    <r>
      <rPr>
        <sz val="10"/>
        <rFont val="Arial"/>
        <family val="0"/>
        <charset val="1"/>
      </rPr>
      <t xml:space="preserve">Free)</t>
    </r>
  </si>
  <si>
    <t xml:space="preserve">기능 부족으로 높은 이탈</t>
  </si>
  <si>
    <r>
      <rPr>
        <sz val="10"/>
        <rFont val="DejaVu Sans"/>
        <family val="2"/>
      </rPr>
      <t xml:space="preserve">월간 이탈률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제안 </t>
    </r>
    <r>
      <rPr>
        <sz val="10"/>
        <rFont val="Arial"/>
        <family val="0"/>
        <charset val="1"/>
      </rPr>
      <t xml:space="preserve">Free)</t>
    </r>
  </si>
  <si>
    <r>
      <rPr>
        <sz val="9"/>
        <color rgb="FF64748B"/>
        <rFont val="Arial"/>
        <family val="0"/>
        <charset val="1"/>
      </rPr>
      <t xml:space="preserve">Pro </t>
    </r>
    <r>
      <rPr>
        <sz val="9"/>
        <color rgb="FF64748B"/>
        <rFont val="DejaVu Sans"/>
        <family val="2"/>
      </rPr>
      <t xml:space="preserve">기능으로 만족도 </t>
    </r>
    <r>
      <rPr>
        <sz val="9"/>
        <color rgb="FF64748B"/>
        <rFont val="Arial"/>
        <family val="0"/>
        <charset val="1"/>
      </rPr>
      <t xml:space="preserve">UP</t>
    </r>
  </si>
  <si>
    <r>
      <rPr>
        <sz val="10"/>
        <rFont val="DejaVu Sans"/>
        <family val="2"/>
      </rPr>
      <t xml:space="preserve">월간 이탈률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유료</t>
    </r>
    <r>
      <rPr>
        <sz val="10"/>
        <rFont val="Arial"/>
        <family val="0"/>
        <charset val="1"/>
      </rPr>
      <t xml:space="preserve">)</t>
    </r>
  </si>
  <si>
    <r>
      <rPr>
        <sz val="9"/>
        <color rgb="FF64748B"/>
        <rFont val="Arial"/>
        <family val="0"/>
        <charset val="1"/>
      </rPr>
      <t xml:space="preserve">B2B SaaS </t>
    </r>
    <r>
      <rPr>
        <sz val="9"/>
        <color rgb="FF64748B"/>
        <rFont val="DejaVu Sans"/>
        <family val="2"/>
      </rPr>
      <t xml:space="preserve">평균</t>
    </r>
  </si>
  <si>
    <r>
      <rPr>
        <b val="true"/>
        <sz val="10"/>
        <color rgb="FFFFFFFF"/>
        <rFont val="DejaVu Sans"/>
        <family val="2"/>
      </rPr>
      <t xml:space="preserve">시나리오 </t>
    </r>
    <r>
      <rPr>
        <b val="true"/>
        <sz val="10"/>
        <color rgb="FFFFFFFF"/>
        <rFont val="Arial"/>
        <family val="0"/>
        <charset val="1"/>
      </rPr>
      <t xml:space="preserve">A: </t>
    </r>
    <r>
      <rPr>
        <b val="true"/>
        <sz val="10"/>
        <color rgb="FFFFFFFF"/>
        <rFont val="DejaVu Sans"/>
        <family val="2"/>
      </rPr>
      <t xml:space="preserve">현재 요금제 </t>
    </r>
    <r>
      <rPr>
        <b val="true"/>
        <sz val="10"/>
        <color rgb="FFFFFFFF"/>
        <rFont val="Arial"/>
        <family val="0"/>
        <charset val="1"/>
      </rPr>
      <t xml:space="preserve">(Pro </t>
    </r>
    <r>
      <rPr>
        <b val="true"/>
        <sz val="10"/>
        <color rgb="FFFFFFFF"/>
        <rFont val="DejaVu Sans"/>
        <family val="2"/>
      </rPr>
      <t xml:space="preserve">기능 제한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</si>
  <si>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지표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</si>
  <si>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</si>
  <si>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</si>
  <si>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</si>
  <si>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</si>
  <si>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</si>
  <si>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</si>
  <si>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</si>
  <si>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</si>
  <si>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</si>
  <si>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</si>
  <si>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</si>
  <si>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</si>
  <si>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합계</t>
  </si>
  <si>
    <r>
      <rPr>
        <sz val="10"/>
        <rFont val="DejaVu Sans"/>
        <family val="2"/>
      </rPr>
      <t xml:space="preserve">신규 가입 </t>
    </r>
    <r>
      <rPr>
        <sz val="10"/>
        <rFont val="Arial"/>
        <family val="0"/>
        <charset val="1"/>
      </rPr>
      <t xml:space="preserve">(Free)</t>
    </r>
  </si>
  <si>
    <r>
      <rPr>
        <sz val="10"/>
        <rFont val="DejaVu Sans"/>
        <family val="2"/>
      </rPr>
      <t xml:space="preserve">누적 </t>
    </r>
    <r>
      <rPr>
        <sz val="10"/>
        <rFont val="Arial"/>
        <family val="0"/>
        <charset val="1"/>
      </rPr>
      <t xml:space="preserve">Free </t>
    </r>
    <r>
      <rPr>
        <sz val="10"/>
        <rFont val="DejaVu Sans"/>
        <family val="2"/>
      </rPr>
      <t xml:space="preserve">유저</t>
    </r>
  </si>
  <si>
    <r>
      <rPr>
        <sz val="10"/>
        <rFont val="Arial"/>
        <family val="0"/>
        <charset val="1"/>
      </rPr>
      <t xml:space="preserve">Free → Basic </t>
    </r>
    <r>
      <rPr>
        <sz val="10"/>
        <rFont val="DejaVu Sans"/>
        <family val="2"/>
      </rPr>
      <t xml:space="preserve">전환</t>
    </r>
  </si>
  <si>
    <r>
      <rPr>
        <sz val="10"/>
        <rFont val="DejaVu Sans"/>
        <family val="2"/>
      </rPr>
      <t xml:space="preserve">누적 </t>
    </r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유저</t>
    </r>
  </si>
  <si>
    <r>
      <rPr>
        <sz val="10"/>
        <rFont val="Arial"/>
        <family val="0"/>
        <charset val="1"/>
      </rPr>
      <t xml:space="preserve">Basic → Pro </t>
    </r>
    <r>
      <rPr>
        <sz val="10"/>
        <rFont val="DejaVu Sans"/>
        <family val="2"/>
      </rPr>
      <t xml:space="preserve">전환</t>
    </r>
  </si>
  <si>
    <r>
      <rPr>
        <sz val="10"/>
        <rFont val="DejaVu Sans"/>
        <family val="2"/>
      </rPr>
      <t xml:space="preserve">누적 </t>
    </r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유저</t>
    </r>
  </si>
  <si>
    <r>
      <rPr>
        <sz val="10"/>
        <rFont val="Arial"/>
        <family val="0"/>
        <charset val="1"/>
      </rPr>
      <t xml:space="preserve">Pro → Enterprise </t>
    </r>
    <r>
      <rPr>
        <sz val="10"/>
        <rFont val="DejaVu Sans"/>
        <family val="2"/>
      </rPr>
      <t xml:space="preserve">전환</t>
    </r>
  </si>
  <si>
    <r>
      <rPr>
        <sz val="10"/>
        <rFont val="DejaVu Sans"/>
        <family val="2"/>
      </rPr>
      <t xml:space="preserve">누적 </t>
    </r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유저</t>
    </r>
  </si>
  <si>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매출 </t>
    </r>
    <r>
      <rPr>
        <sz val="10"/>
        <rFont val="Arial"/>
        <family val="0"/>
        <charset val="1"/>
      </rPr>
      <t xml:space="preserve">($)</t>
    </r>
  </si>
  <si>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매출 </t>
    </r>
    <r>
      <rPr>
        <sz val="10"/>
        <rFont val="Arial"/>
        <family val="0"/>
        <charset val="1"/>
      </rPr>
      <t xml:space="preserve">($)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</si>
  <si>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매출 </t>
    </r>
    <r>
      <rPr>
        <sz val="10"/>
        <rFont val="Arial"/>
        <family val="0"/>
        <charset val="1"/>
      </rPr>
      <t xml:space="preserve">($)</t>
    </r>
  </si>
  <si>
    <r>
      <rPr>
        <b val="true"/>
        <sz val="10"/>
        <rFont val="DejaVu Sans"/>
        <family val="2"/>
      </rPr>
      <t xml:space="preserve">월간 총 매출 </t>
    </r>
    <r>
      <rPr>
        <b val="true"/>
        <sz val="10"/>
        <rFont val="Arial"/>
        <family val="0"/>
        <charset val="1"/>
      </rPr>
      <t xml:space="preserve">($)</t>
    </r>
  </si>
  <si>
    <r>
      <rPr>
        <b val="true"/>
        <sz val="10"/>
        <rFont val="DejaVu Sans"/>
        <family val="2"/>
      </rPr>
      <t xml:space="preserve">누적 매출 </t>
    </r>
    <r>
      <rPr>
        <b val="true"/>
        <sz val="10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</si>
  <si>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DejaVu Sans"/>
        <family val="2"/>
      </rPr>
      <t xml:space="preserve">시나리오 </t>
    </r>
    <r>
      <rPr>
        <b val="true"/>
        <sz val="10"/>
        <color rgb="FFFFFFFF"/>
        <rFont val="Arial"/>
        <family val="0"/>
        <charset val="1"/>
      </rPr>
      <t xml:space="preserve">B: 'Grow With You' </t>
    </r>
    <r>
      <rPr>
        <b val="true"/>
        <sz val="10"/>
        <color rgb="FFFFFFFF"/>
        <rFont val="DejaVu Sans"/>
        <family val="2"/>
      </rPr>
      <t xml:space="preserve">전략 </t>
    </r>
    <r>
      <rPr>
        <b val="true"/>
        <sz val="10"/>
        <color rgb="FFFFFFFF"/>
        <rFont val="Arial"/>
        <family val="0"/>
        <charset val="1"/>
      </rPr>
      <t xml:space="preserve">(Pro </t>
    </r>
    <r>
      <rPr>
        <b val="true"/>
        <sz val="10"/>
        <color rgb="FFFFFFFF"/>
        <rFont val="DejaVu Sans"/>
        <family val="2"/>
      </rPr>
      <t xml:space="preserve">기능 개방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</si>
  <si>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C. </t>
    </r>
    <r>
      <rPr>
        <b val="true"/>
        <sz val="10"/>
        <color rgb="FFFFFFFF"/>
        <rFont val="DejaVu Sans"/>
        <family val="2"/>
      </rPr>
      <t xml:space="preserve">비교 결과</t>
    </r>
  </si>
  <si>
    <r>
      <rPr>
        <b val="true"/>
        <sz val="10"/>
        <rFont val="DejaVu Sans"/>
        <family val="2"/>
      </rPr>
      <t xml:space="preserve">현재 — </t>
    </r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DejaVu Sans"/>
        <family val="2"/>
      </rPr>
      <t xml:space="preserve">개월 누적 매출</t>
    </r>
  </si>
  <si>
    <r>
      <rPr>
        <b val="true"/>
        <sz val="10"/>
        <rFont val="DejaVu Sans"/>
        <family val="2"/>
      </rPr>
      <t xml:space="preserve">제안 — </t>
    </r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DejaVu Sans"/>
        <family val="2"/>
      </rPr>
      <t xml:space="preserve">개월 누적 매출</t>
    </r>
  </si>
  <si>
    <r>
      <rPr>
        <b val="true"/>
        <sz val="10"/>
        <rFont val="DejaVu Sans"/>
        <family val="2"/>
      </rPr>
      <t xml:space="preserve">차이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제안 </t>
    </r>
    <r>
      <rPr>
        <b val="true"/>
        <sz val="10"/>
        <rFont val="Arial"/>
        <family val="0"/>
        <charset val="1"/>
      </rPr>
      <t xml:space="preserve">- </t>
    </r>
    <r>
      <rPr>
        <b val="true"/>
        <sz val="10"/>
        <rFont val="DejaVu Sans"/>
        <family val="2"/>
      </rPr>
      <t xml:space="preserve">현재</t>
    </r>
    <r>
      <rPr>
        <b val="true"/>
        <sz val="10"/>
        <rFont val="Arial"/>
        <family val="0"/>
        <charset val="1"/>
      </rPr>
      <t xml:space="preserve">)</t>
    </r>
  </si>
  <si>
    <t xml:space="preserve">증감률</t>
  </si>
  <si>
    <r>
      <rPr>
        <b val="true"/>
        <sz val="10"/>
        <rFont val="DejaVu Sans"/>
        <family val="2"/>
      </rPr>
      <t xml:space="preserve">현재 — </t>
    </r>
    <r>
      <rPr>
        <b val="true"/>
        <sz val="10"/>
        <rFont val="Arial"/>
        <family val="0"/>
        <charset val="1"/>
      </rPr>
      <t xml:space="preserve">M12 </t>
    </r>
    <r>
      <rPr>
        <b val="true"/>
        <sz val="10"/>
        <rFont val="DejaVu Sans"/>
        <family val="2"/>
      </rPr>
      <t xml:space="preserve">유료 고객 수</t>
    </r>
  </si>
  <si>
    <r>
      <rPr>
        <b val="true"/>
        <sz val="10"/>
        <rFont val="DejaVu Sans"/>
        <family val="2"/>
      </rPr>
      <t xml:space="preserve">제안 — </t>
    </r>
    <r>
      <rPr>
        <b val="true"/>
        <sz val="10"/>
        <rFont val="Arial"/>
        <family val="0"/>
        <charset val="1"/>
      </rPr>
      <t xml:space="preserve">M12 </t>
    </r>
    <r>
      <rPr>
        <b val="true"/>
        <sz val="10"/>
        <rFont val="DejaVu Sans"/>
        <family val="2"/>
      </rPr>
      <t xml:space="preserve">유료 고객 수</t>
    </r>
  </si>
  <si>
    <r>
      <rPr>
        <b val="true"/>
        <sz val="10"/>
        <rFont val="DejaVu Sans"/>
        <family val="2"/>
      </rPr>
      <t xml:space="preserve">현재 — </t>
    </r>
    <r>
      <rPr>
        <b val="true"/>
        <sz val="10"/>
        <rFont val="Arial"/>
        <family val="0"/>
        <charset val="1"/>
      </rPr>
      <t xml:space="preserve">M12 </t>
    </r>
    <r>
      <rPr>
        <b val="true"/>
        <sz val="10"/>
        <rFont val="DejaVu Sans"/>
        <family val="2"/>
      </rPr>
      <t xml:space="preserve">전체 유저 수</t>
    </r>
  </si>
  <si>
    <r>
      <rPr>
        <b val="true"/>
        <sz val="10"/>
        <rFont val="DejaVu Sans"/>
        <family val="2"/>
      </rPr>
      <t xml:space="preserve">제안 — </t>
    </r>
    <r>
      <rPr>
        <b val="true"/>
        <sz val="10"/>
        <rFont val="Arial"/>
        <family val="0"/>
        <charset val="1"/>
      </rPr>
      <t xml:space="preserve">M12 </t>
    </r>
    <r>
      <rPr>
        <b val="true"/>
        <sz val="10"/>
        <rFont val="DejaVu Sans"/>
        <family val="2"/>
      </rPr>
      <t xml:space="preserve">전체 유저 수</t>
    </r>
  </si>
  <si>
    <r>
      <rPr>
        <b val="true"/>
        <sz val="14"/>
        <color rgb="FFFFFFFF"/>
        <rFont val="Arial"/>
        <family val="0"/>
        <charset val="1"/>
      </rPr>
      <t xml:space="preserve">POTAL 'Grow With You' </t>
    </r>
    <r>
      <rPr>
        <b val="true"/>
        <sz val="14"/>
        <color rgb="FFFFFFFF"/>
        <rFont val="DejaVu Sans"/>
        <family val="2"/>
      </rPr>
      <t xml:space="preserve">전략 — 핵심 인사이트</t>
    </r>
  </si>
  <si>
    <t xml:space="preserve">전략 근거</t>
  </si>
  <si>
    <r>
      <rPr>
        <sz val="10"/>
        <rFont val="Arial"/>
        <family val="0"/>
        <charset val="1"/>
      </rPr>
      <t xml:space="preserve">Stripe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Free </t>
    </r>
    <r>
      <rPr>
        <sz val="10"/>
        <rFont val="DejaVu Sans"/>
        <family val="2"/>
      </rPr>
      <t xml:space="preserve">플랜부터 모든 기능을 제공하고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거래 수수료</t>
    </r>
    <r>
      <rPr>
        <sz val="10"/>
        <rFont val="Arial"/>
        <family val="0"/>
        <charset val="1"/>
      </rPr>
      <t xml:space="preserve">(2.9%+$0.30)</t>
    </r>
    <r>
      <rPr>
        <sz val="10"/>
        <rFont val="DejaVu Sans"/>
        <family val="2"/>
      </rPr>
      <t xml:space="preserve">로만 과금한다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</si>
  <si>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Shopify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Basic($39)</t>
    </r>
    <r>
      <rPr>
        <sz val="10"/>
        <rFont val="DejaVu Sans"/>
        <family val="2"/>
      </rPr>
      <t xml:space="preserve">부터 핵심 이커머스 기능을 전부 열어주고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플랜 차이는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수수료율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보고서 깊이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뿐이다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</si>
  <si>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Vercel</t>
    </r>
    <r>
      <rPr>
        <sz val="10"/>
        <rFont val="DejaVu Sans"/>
        <family val="2"/>
      </rPr>
      <t xml:space="preserve">은 </t>
    </r>
    <r>
      <rPr>
        <sz val="10"/>
        <rFont val="Arial"/>
        <family val="0"/>
        <charset val="1"/>
      </rPr>
      <t xml:space="preserve">Hobby(Free)</t>
    </r>
    <r>
      <rPr>
        <sz val="10"/>
        <rFont val="DejaVu Sans"/>
        <family val="2"/>
      </rPr>
      <t xml:space="preserve">에 모든 기능을 주고</t>
    </r>
    <r>
      <rPr>
        <sz val="10"/>
        <rFont val="Arial"/>
        <family val="0"/>
        <charset val="1"/>
      </rPr>
      <t xml:space="preserve">, Pro($20)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팀 협업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대역폭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으로 차별화한다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</si>
  <si>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공통점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기능으로 차별화하지 않고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볼륨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서비스로 차별화한다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</si>
  <si>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color rgb="FF0F1B2D"/>
        <rFont val="Arial"/>
        <family val="0"/>
        <charset val="1"/>
      </rPr>
      <t xml:space="preserve">POTAL</t>
    </r>
    <r>
      <rPr>
        <b val="true"/>
        <sz val="11"/>
        <color rgb="FF0F1B2D"/>
        <rFont val="DejaVu Sans"/>
        <family val="2"/>
      </rPr>
      <t xml:space="preserve">에 적용</t>
    </r>
  </si>
  <si>
    <r>
      <rPr>
        <sz val="10"/>
        <rFont val="Arial"/>
        <family val="0"/>
        <charset val="1"/>
      </rPr>
      <t xml:space="preserve">Free/Basic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기능을 개방하면 →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건의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호출만으로도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완전한 관세 계산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을 경험할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</si>
  <si>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Free </t>
    </r>
    <r>
      <rPr>
        <sz val="10"/>
        <rFont val="DejaVu Sans"/>
        <family val="2"/>
      </rPr>
      <t xml:space="preserve">유저가 </t>
    </r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감지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반덤핑 알림</t>
    </r>
    <r>
      <rPr>
        <sz val="10"/>
        <rFont val="Arial"/>
        <family val="0"/>
        <charset val="1"/>
      </rPr>
      <t xml:space="preserve">, 10</t>
    </r>
    <r>
      <rPr>
        <sz val="10"/>
        <rFont val="DejaVu Sans"/>
        <family val="2"/>
      </rPr>
      <t xml:space="preserve">자리 </t>
    </r>
    <r>
      <rPr>
        <sz val="10"/>
        <rFont val="Arial"/>
        <family val="0"/>
        <charset val="1"/>
      </rPr>
      <t xml:space="preserve">HS Code</t>
    </r>
    <r>
      <rPr>
        <sz val="10"/>
        <rFont val="DejaVu Sans"/>
        <family val="2"/>
      </rPr>
      <t xml:space="preserve">를 직접 써보면 →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이 플랫폼 진짜 쓸만하네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가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</si>
  <si>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볼륨이 필요해지면 자연스럽게 </t>
    </r>
    <r>
      <rPr>
        <sz val="10"/>
        <rFont val="Arial"/>
        <family val="0"/>
        <charset val="1"/>
      </rPr>
      <t xml:space="preserve">Basic($20) → Pro($80)</t>
    </r>
    <r>
      <rPr>
        <sz val="10"/>
        <rFont val="DejaVu Sans"/>
        <family val="2"/>
      </rPr>
      <t xml:space="preserve">로 업그레이드한다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</si>
  <si>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Enterprise</t>
    </r>
    <r>
      <rPr>
        <sz val="10"/>
        <rFont val="DejaVu Sans"/>
        <family val="2"/>
      </rPr>
      <t xml:space="preserve">는 기능이 아니라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서비스</t>
    </r>
    <r>
      <rPr>
        <sz val="10"/>
        <rFont val="Arial"/>
        <family val="0"/>
        <charset val="1"/>
      </rPr>
      <t xml:space="preserve">'(SLA, </t>
    </r>
    <r>
      <rPr>
        <sz val="10"/>
        <rFont val="DejaVu Sans"/>
        <family val="2"/>
      </rPr>
      <t xml:space="preserve">전담 매니저</t>
    </r>
    <r>
      <rPr>
        <sz val="10"/>
        <rFont val="Arial"/>
        <family val="0"/>
        <charset val="1"/>
      </rPr>
      <t xml:space="preserve">, SSO)</t>
    </r>
    <r>
      <rPr>
        <sz val="10"/>
        <rFont val="DejaVu Sans"/>
        <family val="2"/>
      </rPr>
      <t xml:space="preserve">로 차별화되므로 영향 없다</t>
    </r>
    <r>
      <rPr>
        <sz val="10"/>
        <rFont val="Arial"/>
        <family val="0"/>
        <charset val="1"/>
      </rPr>
      <t xml:space="preserve">.</t>
    </r>
  </si>
  <si>
    <t xml:space="preserve">수익 구조 변화 예측</t>
  </si>
  <si>
    <r>
      <rPr>
        <sz val="10"/>
        <rFont val="DejaVu Sans"/>
        <family val="2"/>
      </rPr>
      <t xml:space="preserve">단기 </t>
    </r>
    <r>
      <rPr>
        <sz val="10"/>
        <rFont val="Arial"/>
        <family val="0"/>
        <charset val="1"/>
      </rPr>
      <t xml:space="preserve">(1~3</t>
    </r>
    <r>
      <rPr>
        <sz val="10"/>
        <rFont val="DejaVu Sans"/>
        <family val="2"/>
      </rPr>
      <t xml:space="preserve">개월</t>
    </r>
    <r>
      <rPr>
        <sz val="10"/>
        <rFont val="Arial"/>
        <family val="0"/>
        <charset val="1"/>
      </rPr>
      <t xml:space="preserve">): Pro </t>
    </r>
    <r>
      <rPr>
        <sz val="10"/>
        <rFont val="DejaVu Sans"/>
        <family val="2"/>
      </rPr>
      <t xml:space="preserve">신규 매출 감소 가능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하지만 </t>
    </r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전환 증가로 상쇄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</si>
  <si>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중기 </t>
    </r>
    <r>
      <rPr>
        <sz val="10"/>
        <rFont val="Arial"/>
        <family val="0"/>
        <charset val="1"/>
      </rPr>
      <t xml:space="preserve">(4~6</t>
    </r>
    <r>
      <rPr>
        <sz val="10"/>
        <rFont val="DejaVu Sans"/>
        <family val="2"/>
      </rPr>
      <t xml:space="preserve">개월</t>
    </r>
    <r>
      <rPr>
        <sz val="10"/>
        <rFont val="Arial"/>
        <family val="0"/>
        <charset val="1"/>
      </rPr>
      <t xml:space="preserve">): Free </t>
    </r>
    <r>
      <rPr>
        <sz val="10"/>
        <rFont val="DejaVu Sans"/>
        <family val="2"/>
      </rPr>
      <t xml:space="preserve">이탈률 하락 → 누적 유저 풀 커짐 → 전환 절대 수 증가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</si>
  <si>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장기 </t>
    </r>
    <r>
      <rPr>
        <sz val="10"/>
        <rFont val="Arial"/>
        <family val="0"/>
        <charset val="1"/>
      </rPr>
      <t xml:space="preserve">(7~12</t>
    </r>
    <r>
      <rPr>
        <sz val="10"/>
        <rFont val="DejaVu Sans"/>
        <family val="2"/>
      </rPr>
      <t xml:space="preserve">개월</t>
    </r>
    <r>
      <rPr>
        <sz val="10"/>
        <rFont val="Arial"/>
        <family val="0"/>
        <charset val="1"/>
      </rPr>
      <t xml:space="preserve">): '</t>
    </r>
    <r>
      <rPr>
        <sz val="10"/>
        <rFont val="DejaVu Sans"/>
        <family val="2"/>
      </rPr>
      <t xml:space="preserve">동반 성장</t>
    </r>
    <r>
      <rPr>
        <sz val="10"/>
        <rFont val="Arial"/>
        <family val="0"/>
        <charset val="1"/>
      </rPr>
      <t xml:space="preserve">' </t>
    </r>
    <r>
      <rPr>
        <sz val="10"/>
        <rFont val="DejaVu Sans"/>
        <family val="2"/>
      </rPr>
      <t xml:space="preserve">브랜드 인식 → 입소문 → 신규 가입 증가 선순환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</si>
  <si>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Enterprise</t>
    </r>
    <r>
      <rPr>
        <sz val="10"/>
        <rFont val="DejaVu Sans"/>
        <family val="2"/>
      </rPr>
      <t xml:space="preserve">는 불변</t>
    </r>
    <r>
      <rPr>
        <sz val="10"/>
        <rFont val="Arial"/>
        <family val="0"/>
        <charset val="1"/>
      </rPr>
      <t xml:space="preserve">: SSO/SLA/</t>
    </r>
    <r>
      <rPr>
        <sz val="10"/>
        <rFont val="DejaVu Sans"/>
        <family val="2"/>
      </rPr>
      <t xml:space="preserve">전담 매니저는 기능 개방과 무관한 서비스 차별화</t>
    </r>
    <r>
      <rPr>
        <sz val="10"/>
        <rFont val="Arial"/>
        <family val="0"/>
        <charset val="1"/>
      </rPr>
      <t xml:space="preserve">.</t>
    </r>
  </si>
  <si>
    <t xml:space="preserve">리스크</t>
  </si>
  <si>
    <r>
      <rPr>
        <sz val="10"/>
        <rFont val="Arial"/>
        <family val="0"/>
        <charset val="1"/>
      </rPr>
      <t xml:space="preserve">Basic → Pro </t>
    </r>
    <r>
      <rPr>
        <sz val="10"/>
        <rFont val="DejaVu Sans"/>
        <family val="2"/>
      </rPr>
      <t xml:space="preserve">전환율 하락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기능 차이가 줄어드니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왜 </t>
    </r>
    <r>
      <rPr>
        <sz val="10"/>
        <rFont val="Arial"/>
        <family val="0"/>
        <charset val="1"/>
      </rPr>
      <t xml:space="preserve">Pro</t>
    </r>
    <r>
      <rPr>
        <sz val="10"/>
        <rFont val="DejaVu Sans"/>
        <family val="2"/>
      </rPr>
      <t xml:space="preserve">를 써야 하지</t>
    </r>
    <r>
      <rPr>
        <sz val="10"/>
        <rFont val="Arial"/>
        <family val="0"/>
        <charset val="1"/>
      </rPr>
      <t xml:space="preserve">?' </t>
    </r>
    <r>
      <rPr>
        <sz val="10"/>
        <rFont val="DejaVu Sans"/>
        <family val="2"/>
      </rPr>
      <t xml:space="preserve">가능성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</si>
  <si>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대응</t>
    </r>
    <r>
      <rPr>
        <sz val="10"/>
        <rFont val="Arial"/>
        <family val="0"/>
        <charset val="1"/>
      </rPr>
      <t xml:space="preserve">: Pro</t>
    </r>
    <r>
      <rPr>
        <sz val="10"/>
        <rFont val="DejaVu Sans"/>
        <family val="2"/>
      </rPr>
      <t xml:space="preserve">의 가치를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볼륨 </t>
    </r>
    <r>
      <rPr>
        <sz val="10"/>
        <rFont val="Arial"/>
        <family val="0"/>
        <charset val="1"/>
      </rPr>
      <t xml:space="preserve">+ Custom </t>
    </r>
    <r>
      <rPr>
        <sz val="10"/>
        <rFont val="DejaVu Sans"/>
        <family val="2"/>
      </rPr>
      <t xml:space="preserve">브랜딩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우선 지원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으로 재정의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</si>
  <si>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또는</t>
    </r>
    <r>
      <rPr>
        <sz val="10"/>
        <rFont val="Arial"/>
        <family val="0"/>
        <charset val="1"/>
      </rPr>
      <t xml:space="preserve">: Basic/Pro </t>
    </r>
    <r>
      <rPr>
        <sz val="10"/>
        <rFont val="DejaVu Sans"/>
        <family val="2"/>
      </rPr>
      <t xml:space="preserve">가격 인하 후 볼륨 과금</t>
    </r>
    <r>
      <rPr>
        <sz val="10"/>
        <rFont val="Arial"/>
        <family val="0"/>
        <charset val="1"/>
      </rPr>
      <t xml:space="preserve">(overage)</t>
    </r>
    <r>
      <rPr>
        <sz val="10"/>
        <rFont val="DejaVu Sans"/>
        <family val="2"/>
      </rPr>
      <t xml:space="preserve">으로 수익 보전 가능</t>
    </r>
    <r>
      <rPr>
        <sz val="10"/>
        <rFont val="Arial"/>
        <family val="0"/>
        <charset val="1"/>
      </rPr>
      <t xml:space="preserve">.</t>
    </r>
  </si>
  <si>
    <t xml:space="preserve">성공 사례 벤치마크</t>
  </si>
  <si>
    <r>
      <rPr>
        <sz val="10"/>
        <rFont val="Arial"/>
        <family val="0"/>
        <charset val="1"/>
      </rPr>
      <t xml:space="preserve">Stripe: </t>
    </r>
    <r>
      <rPr>
        <sz val="10"/>
        <rFont val="DejaVu Sans"/>
        <family val="2"/>
      </rPr>
      <t xml:space="preserve">기능 개방 → 개발자 사랑 → 스타트업 표준 → 그 스타트업이 유니콘 됨 → 수수료 폭증</t>
    </r>
  </si>
  <si>
    <r>
      <rPr>
        <sz val="10"/>
        <rFont val="Arial"/>
        <family val="0"/>
        <charset val="1"/>
      </rPr>
      <t xml:space="preserve">Shopify: Basic</t>
    </r>
    <r>
      <rPr>
        <sz val="10"/>
        <rFont val="DejaVu Sans"/>
        <family val="2"/>
      </rPr>
      <t xml:space="preserve">부터 풀 기능 → 소상공인이 성장 → </t>
    </r>
    <r>
      <rPr>
        <sz val="10"/>
        <rFont val="Arial"/>
        <family val="0"/>
        <charset val="1"/>
      </rPr>
      <t xml:space="preserve">Advanced/Plus</t>
    </r>
    <r>
      <rPr>
        <sz val="10"/>
        <rFont val="DejaVu Sans"/>
        <family val="2"/>
      </rPr>
      <t xml:space="preserve">로 자연 업그레이드</t>
    </r>
  </si>
  <si>
    <r>
      <rPr>
        <sz val="10"/>
        <rFont val="Arial"/>
        <family val="0"/>
        <charset val="1"/>
      </rPr>
      <t xml:space="preserve">Vercel: Hobby</t>
    </r>
    <r>
      <rPr>
        <sz val="10"/>
        <rFont val="DejaVu Sans"/>
        <family val="2"/>
      </rPr>
      <t xml:space="preserve">에 풀 기능 → 사이드 프로젝트가 프로덕션 됨 → </t>
    </r>
    <r>
      <rPr>
        <sz val="10"/>
        <rFont val="Arial"/>
        <family val="0"/>
        <charset val="1"/>
      </rPr>
      <t xml:space="preserve">Pro/Enterprise </t>
    </r>
    <r>
      <rPr>
        <sz val="10"/>
        <rFont val="DejaVu Sans"/>
        <family val="2"/>
      </rPr>
      <t xml:space="preserve">전환</t>
    </r>
  </si>
  <si>
    <r>
      <rPr>
        <sz val="10"/>
        <rFont val="DejaVu Sans"/>
        <family val="2"/>
      </rPr>
      <t xml:space="preserve">공통</t>
    </r>
    <r>
      <rPr>
        <sz val="10"/>
        <rFont val="Arial"/>
        <family val="0"/>
        <charset val="1"/>
      </rPr>
      <t xml:space="preserve">: '</t>
    </r>
    <r>
      <rPr>
        <sz val="10"/>
        <rFont val="DejaVu Sans"/>
        <family val="2"/>
      </rPr>
      <t xml:space="preserve">기능 잠금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으로 돈 벌지 않고</t>
    </r>
    <r>
      <rPr>
        <sz val="10"/>
        <rFont val="Arial"/>
        <family val="0"/>
        <charset val="1"/>
      </rPr>
      <t xml:space="preserve">, '</t>
    </r>
    <r>
      <rPr>
        <sz val="10"/>
        <rFont val="DejaVu Sans"/>
        <family val="2"/>
      </rPr>
      <t xml:space="preserve">성장에 따른 볼륨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으로 돈 번다</t>
    </r>
  </si>
  <si>
    <t xml:space="preserve">결론</t>
  </si>
  <si>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기능을 </t>
    </r>
    <r>
      <rPr>
        <sz val="10"/>
        <rFont val="Arial"/>
        <family val="0"/>
        <charset val="1"/>
      </rPr>
      <t xml:space="preserve">Free/Basic</t>
    </r>
    <r>
      <rPr>
        <sz val="10"/>
        <rFont val="DejaVu Sans"/>
        <family val="2"/>
      </rPr>
      <t xml:space="preserve">에 개방하면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볼륨 기반 과금</t>
    </r>
    <r>
      <rPr>
        <sz val="10"/>
        <rFont val="Arial"/>
        <family val="0"/>
        <charset val="1"/>
      </rPr>
      <t xml:space="preserve">' </t>
    </r>
    <r>
      <rPr>
        <sz val="10"/>
        <rFont val="DejaVu Sans"/>
        <family val="2"/>
      </rPr>
      <t xml:space="preserve">모델로 전환된다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</si>
  <si>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이는 </t>
    </r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인프라 플랫폼의 검증된 성공 공식이다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</si>
  <si>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POTAL</t>
    </r>
    <r>
      <rPr>
        <sz val="10"/>
        <rFont val="DejaVu Sans"/>
        <family val="2"/>
      </rPr>
      <t xml:space="preserve">의 비용 구조</t>
    </r>
    <r>
      <rPr>
        <sz val="10"/>
        <rFont val="Arial"/>
        <family val="0"/>
        <charset val="1"/>
      </rPr>
      <t xml:space="preserve">(API </t>
    </r>
    <r>
      <rPr>
        <sz val="10"/>
        <rFont val="DejaVu Sans"/>
        <family val="2"/>
      </rPr>
      <t xml:space="preserve">호출당 거의 </t>
    </r>
    <r>
      <rPr>
        <sz val="10"/>
        <rFont val="Arial"/>
        <family val="0"/>
        <charset val="1"/>
      </rPr>
      <t xml:space="preserve">$0)</t>
    </r>
    <r>
      <rPr>
        <sz val="10"/>
        <rFont val="DejaVu Sans"/>
        <family val="2"/>
      </rPr>
      <t xml:space="preserve">가 이 전략을 더욱 유리하게 만든다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</si>
  <si>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추가 비용 없이 기능을 열어주는 것이므로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리스크는 낮고 업사이드는 크다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</si>
</sst>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sz val="9"/>
      <color rgb="FF64748B"/>
      <name val="DejaVu Sans"/>
      <family val="2"/>
    </font>
    <font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color rgb="FF059669"/>
      <name val="Arial"/>
      <family val="0"/>
      <charset val="1"/>
    </font>
    <font>
      <i val="true"/>
      <sz val="9"/>
      <color rgb="FF059669"/>
      <name val="Arial"/>
      <family val="0"/>
      <charset val="1"/>
    </font>
    <font>
      <i val="true"/>
      <sz val="9"/>
      <color rgb="FF059669"/>
      <name val="DejaVu Sans"/>
      <family val="2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sz val="10"/>
      <color rgb="FF0000FF"/>
      <name val="Arial"/>
      <family val="0"/>
      <charset val="1"/>
    </font>
    <font>
      <b val="true"/>
      <sz val="12"/>
      <color rgb="FF059669"/>
      <name val="Arial"/>
      <family val="0"/>
      <charset val="1"/>
    </font>
    <font>
      <b val="true"/>
      <sz val="11"/>
      <color rgb="FF0F1B2D"/>
      <name val="DejaVu Sans"/>
      <family val="2"/>
    </font>
    <font>
      <b val="true"/>
      <sz val="11"/>
      <color rgb="FF0F1B2D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B2D"/>
        <bgColor rgb="FF000000"/>
      </patternFill>
    </fill>
    <fill>
      <patternFill patternType="solid">
        <fgColor rgb="FF2563EB"/>
        <bgColor rgb="FF0066CC"/>
      </patternFill>
    </fill>
    <fill>
      <patternFill patternType="solid">
        <fgColor rgb="FFE2E8F0"/>
        <bgColor rgb="FFDCFCE7"/>
      </patternFill>
    </fill>
    <fill>
      <patternFill patternType="solid">
        <fgColor rgb="FFF8FAFC"/>
        <bgColor rgb="FFFFFFFF"/>
      </patternFill>
    </fill>
    <fill>
      <patternFill patternType="solid">
        <fgColor rgb="FF059669"/>
        <bgColor rgb="FF008080"/>
      </patternFill>
    </fill>
    <fill>
      <patternFill patternType="solid">
        <fgColor rgb="FFD1FAE5"/>
        <bgColor rgb="FFDCFCE7"/>
      </patternFill>
    </fill>
    <fill>
      <patternFill patternType="solid">
        <fgColor rgb="FFDCFCE7"/>
        <bgColor rgb="FFD1FAE5"/>
      </patternFill>
    </fill>
    <fill>
      <patternFill patternType="solid">
        <fgColor rgb="FFDC2626"/>
        <bgColor rgb="FF993300"/>
      </patternFill>
    </fill>
    <fill>
      <patternFill patternType="solid">
        <fgColor rgb="FFFEE2E2"/>
        <bgColor rgb="FFE2E8F0"/>
      </patternFill>
    </fill>
    <fill>
      <patternFill patternType="solid">
        <fgColor rgb="FFFEF9C3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D1FAE5"/>
      <rgbColor rgb="FFF8FAFC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B2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6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2.6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7" t="s">
        <v>9</v>
      </c>
      <c r="C6" s="7" t="s">
        <v>10</v>
      </c>
      <c r="D6" s="7" t="s">
        <v>11</v>
      </c>
      <c r="E6" s="7" t="s">
        <v>12</v>
      </c>
    </row>
    <row r="7" customFormat="false" ht="15" hidden="false" customHeight="false" outlineLevel="0" collapsed="false">
      <c r="A7" s="8" t="s">
        <v>13</v>
      </c>
      <c r="B7" s="9" t="s">
        <v>14</v>
      </c>
      <c r="C7" s="9" t="s">
        <v>15</v>
      </c>
      <c r="D7" s="9" t="s">
        <v>16</v>
      </c>
      <c r="E7" s="9" t="s">
        <v>17</v>
      </c>
    </row>
    <row r="8" customFormat="false" ht="15" hidden="false" customHeight="false" outlineLevel="0" collapsed="false">
      <c r="A8" s="6" t="s">
        <v>18</v>
      </c>
      <c r="B8" s="7" t="s">
        <v>19</v>
      </c>
      <c r="C8" s="7" t="s">
        <v>19</v>
      </c>
      <c r="D8" s="7" t="s">
        <v>19</v>
      </c>
      <c r="E8" s="7" t="s">
        <v>19</v>
      </c>
    </row>
    <row r="9" customFormat="false" ht="15" hidden="false" customHeight="false" outlineLevel="0" collapsed="false">
      <c r="A9" s="10" t="s">
        <v>20</v>
      </c>
      <c r="B9" s="9" t="s">
        <v>19</v>
      </c>
      <c r="C9" s="9" t="s">
        <v>19</v>
      </c>
      <c r="D9" s="9" t="s">
        <v>19</v>
      </c>
      <c r="E9" s="9" t="s">
        <v>19</v>
      </c>
    </row>
    <row r="10" customFormat="false" ht="15" hidden="false" customHeight="false" outlineLevel="0" collapsed="false">
      <c r="A10" s="6" t="s">
        <v>21</v>
      </c>
      <c r="B10" s="7" t="s">
        <v>22</v>
      </c>
      <c r="C10" s="7" t="s">
        <v>19</v>
      </c>
      <c r="D10" s="7" t="s">
        <v>19</v>
      </c>
      <c r="E10" s="7" t="s">
        <v>19</v>
      </c>
    </row>
    <row r="11" customFormat="false" ht="15" hidden="false" customHeight="false" outlineLevel="0" collapsed="false">
      <c r="A11" s="8" t="s">
        <v>23</v>
      </c>
      <c r="B11" s="9" t="s">
        <v>22</v>
      </c>
      <c r="C11" s="9" t="s">
        <v>19</v>
      </c>
      <c r="D11" s="9" t="s">
        <v>19</v>
      </c>
      <c r="E11" s="9" t="s">
        <v>19</v>
      </c>
    </row>
    <row r="12" customFormat="false" ht="15" hidden="false" customHeight="false" outlineLevel="0" collapsed="false">
      <c r="A12" s="6" t="s">
        <v>24</v>
      </c>
      <c r="B12" s="7" t="s">
        <v>22</v>
      </c>
      <c r="C12" s="7" t="s">
        <v>19</v>
      </c>
      <c r="D12" s="7" t="s">
        <v>19</v>
      </c>
      <c r="E12" s="7" t="s">
        <v>19</v>
      </c>
    </row>
    <row r="13" customFormat="false" ht="15" hidden="false" customHeight="false" outlineLevel="0" collapsed="false">
      <c r="A13" s="8" t="s">
        <v>25</v>
      </c>
      <c r="B13" s="9" t="s">
        <v>22</v>
      </c>
      <c r="C13" s="9" t="s">
        <v>19</v>
      </c>
      <c r="D13" s="9" t="s">
        <v>19</v>
      </c>
      <c r="E13" s="9" t="s">
        <v>19</v>
      </c>
    </row>
    <row r="14" customFormat="false" ht="15" hidden="false" customHeight="false" outlineLevel="0" collapsed="false">
      <c r="A14" s="6" t="s">
        <v>26</v>
      </c>
      <c r="B14" s="7" t="s">
        <v>22</v>
      </c>
      <c r="C14" s="7" t="s">
        <v>19</v>
      </c>
      <c r="D14" s="7" t="s">
        <v>19</v>
      </c>
      <c r="E14" s="7" t="s">
        <v>19</v>
      </c>
    </row>
    <row r="15" customFormat="false" ht="15" hidden="false" customHeight="false" outlineLevel="0" collapsed="false">
      <c r="A15" s="10" t="s">
        <v>27</v>
      </c>
      <c r="B15" s="9" t="s">
        <v>22</v>
      </c>
      <c r="C15" s="9" t="s">
        <v>19</v>
      </c>
      <c r="D15" s="9" t="s">
        <v>19</v>
      </c>
      <c r="E15" s="9" t="s">
        <v>19</v>
      </c>
    </row>
    <row r="16" customFormat="false" ht="15" hidden="false" customHeight="false" outlineLevel="0" collapsed="false">
      <c r="A16" s="6" t="s">
        <v>28</v>
      </c>
      <c r="B16" s="7" t="s">
        <v>22</v>
      </c>
      <c r="C16" s="7" t="s">
        <v>22</v>
      </c>
      <c r="D16" s="7" t="s">
        <v>19</v>
      </c>
      <c r="E16" s="7" t="s">
        <v>19</v>
      </c>
    </row>
    <row r="17" customFormat="false" ht="15" hidden="false" customHeight="false" outlineLevel="0" collapsed="false">
      <c r="A17" s="10" t="s">
        <v>29</v>
      </c>
      <c r="B17" s="9" t="s">
        <v>22</v>
      </c>
      <c r="C17" s="9" t="s">
        <v>22</v>
      </c>
      <c r="D17" s="9" t="s">
        <v>19</v>
      </c>
      <c r="E17" s="9" t="s">
        <v>19</v>
      </c>
    </row>
    <row r="18" customFormat="false" ht="15" hidden="false" customHeight="false" outlineLevel="0" collapsed="false">
      <c r="A18" s="11" t="s">
        <v>30</v>
      </c>
      <c r="B18" s="7" t="s">
        <v>22</v>
      </c>
      <c r="C18" s="7" t="s">
        <v>22</v>
      </c>
      <c r="D18" s="7" t="s">
        <v>19</v>
      </c>
      <c r="E18" s="7" t="s">
        <v>19</v>
      </c>
    </row>
    <row r="19" customFormat="false" ht="15" hidden="false" customHeight="false" outlineLevel="0" collapsed="false">
      <c r="A19" s="10" t="s">
        <v>31</v>
      </c>
      <c r="B19" s="9" t="s">
        <v>22</v>
      </c>
      <c r="C19" s="9" t="s">
        <v>22</v>
      </c>
      <c r="D19" s="9" t="s">
        <v>22</v>
      </c>
      <c r="E19" s="9" t="s">
        <v>19</v>
      </c>
    </row>
    <row r="20" customFormat="false" ht="15" hidden="false" customHeight="false" outlineLevel="0" collapsed="false">
      <c r="A20" s="11" t="s">
        <v>32</v>
      </c>
      <c r="B20" s="7" t="s">
        <v>22</v>
      </c>
      <c r="C20" s="7" t="s">
        <v>22</v>
      </c>
      <c r="D20" s="7" t="s">
        <v>22</v>
      </c>
      <c r="E20" s="7" t="s">
        <v>19</v>
      </c>
    </row>
    <row r="21" customFormat="false" ht="15" hidden="false" customHeight="false" outlineLevel="0" collapsed="false">
      <c r="A21" s="8" t="s">
        <v>33</v>
      </c>
      <c r="B21" s="9" t="s">
        <v>22</v>
      </c>
      <c r="C21" s="9" t="s">
        <v>22</v>
      </c>
      <c r="D21" s="9" t="s">
        <v>22</v>
      </c>
      <c r="E21" s="9" t="s">
        <v>19</v>
      </c>
    </row>
    <row r="23" customFormat="false" ht="12.65" hidden="false" customHeight="false" outlineLevel="0" collapsed="false">
      <c r="A23" s="12" t="s">
        <v>34</v>
      </c>
      <c r="B23" s="12"/>
      <c r="C23" s="12"/>
      <c r="D23" s="12"/>
      <c r="E23" s="12"/>
      <c r="F23" s="12"/>
      <c r="G23" s="12"/>
      <c r="H23" s="12"/>
      <c r="I23" s="12"/>
    </row>
    <row r="24" customFormat="false" ht="15" hidden="false" customHeight="false" outlineLevel="0" collapsed="false">
      <c r="A24" s="13" t="s">
        <v>3</v>
      </c>
      <c r="B24" s="14" t="s">
        <v>4</v>
      </c>
      <c r="C24" s="14" t="s">
        <v>5</v>
      </c>
      <c r="D24" s="14" t="s">
        <v>6</v>
      </c>
      <c r="E24" s="14" t="s">
        <v>7</v>
      </c>
    </row>
    <row r="25" customFormat="false" ht="15" hidden="false" customHeight="false" outlineLevel="0" collapsed="false">
      <c r="A25" s="6" t="s">
        <v>8</v>
      </c>
      <c r="B25" s="7" t="s">
        <v>9</v>
      </c>
      <c r="C25" s="7" t="s">
        <v>10</v>
      </c>
      <c r="D25" s="7" t="s">
        <v>11</v>
      </c>
      <c r="E25" s="7" t="s">
        <v>12</v>
      </c>
    </row>
    <row r="26" customFormat="false" ht="15" hidden="false" customHeight="false" outlineLevel="0" collapsed="false">
      <c r="A26" s="8" t="s">
        <v>13</v>
      </c>
      <c r="B26" s="15" t="s">
        <v>35</v>
      </c>
      <c r="C26" s="9" t="s">
        <v>15</v>
      </c>
      <c r="D26" s="9" t="s">
        <v>16</v>
      </c>
      <c r="E26" s="9" t="s">
        <v>17</v>
      </c>
    </row>
    <row r="27" customFormat="false" ht="15" hidden="false" customHeight="false" outlineLevel="0" collapsed="false">
      <c r="A27" s="6" t="s">
        <v>18</v>
      </c>
      <c r="B27" s="7" t="s">
        <v>19</v>
      </c>
      <c r="C27" s="7" t="s">
        <v>19</v>
      </c>
      <c r="D27" s="7" t="s">
        <v>19</v>
      </c>
      <c r="E27" s="7" t="s">
        <v>19</v>
      </c>
    </row>
    <row r="28" customFormat="false" ht="15" hidden="false" customHeight="false" outlineLevel="0" collapsed="false">
      <c r="A28" s="10" t="s">
        <v>20</v>
      </c>
      <c r="B28" s="9" t="s">
        <v>19</v>
      </c>
      <c r="C28" s="9" t="s">
        <v>19</v>
      </c>
      <c r="D28" s="9" t="s">
        <v>19</v>
      </c>
      <c r="E28" s="9" t="s">
        <v>19</v>
      </c>
    </row>
    <row r="29" customFormat="false" ht="15" hidden="false" customHeight="false" outlineLevel="0" collapsed="false">
      <c r="A29" s="6" t="s">
        <v>21</v>
      </c>
      <c r="B29" s="15" t="s">
        <v>36</v>
      </c>
      <c r="C29" s="7" t="s">
        <v>19</v>
      </c>
      <c r="D29" s="7" t="s">
        <v>19</v>
      </c>
      <c r="E29" s="7" t="s">
        <v>19</v>
      </c>
    </row>
    <row r="30" customFormat="false" ht="15" hidden="false" customHeight="false" outlineLevel="0" collapsed="false">
      <c r="A30" s="8" t="s">
        <v>23</v>
      </c>
      <c r="B30" s="15" t="s">
        <v>36</v>
      </c>
      <c r="C30" s="9" t="s">
        <v>19</v>
      </c>
      <c r="D30" s="9" t="s">
        <v>19</v>
      </c>
      <c r="E30" s="9" t="s">
        <v>19</v>
      </c>
    </row>
    <row r="31" customFormat="false" ht="15" hidden="false" customHeight="false" outlineLevel="0" collapsed="false">
      <c r="A31" s="6" t="s">
        <v>24</v>
      </c>
      <c r="B31" s="15" t="s">
        <v>36</v>
      </c>
      <c r="C31" s="7" t="s">
        <v>19</v>
      </c>
      <c r="D31" s="7" t="s">
        <v>19</v>
      </c>
      <c r="E31" s="7" t="s">
        <v>19</v>
      </c>
    </row>
    <row r="32" customFormat="false" ht="15" hidden="false" customHeight="false" outlineLevel="0" collapsed="false">
      <c r="A32" s="8" t="s">
        <v>25</v>
      </c>
      <c r="B32" s="15" t="s">
        <v>36</v>
      </c>
      <c r="C32" s="9" t="s">
        <v>19</v>
      </c>
      <c r="D32" s="9" t="s">
        <v>19</v>
      </c>
      <c r="E32" s="9" t="s">
        <v>19</v>
      </c>
    </row>
    <row r="33" customFormat="false" ht="15" hidden="false" customHeight="false" outlineLevel="0" collapsed="false">
      <c r="A33" s="6" t="s">
        <v>26</v>
      </c>
      <c r="B33" s="15" t="s">
        <v>36</v>
      </c>
      <c r="C33" s="7" t="s">
        <v>19</v>
      </c>
      <c r="D33" s="7" t="s">
        <v>19</v>
      </c>
      <c r="E33" s="7" t="s">
        <v>19</v>
      </c>
    </row>
    <row r="34" customFormat="false" ht="15" hidden="false" customHeight="false" outlineLevel="0" collapsed="false">
      <c r="A34" s="10" t="s">
        <v>27</v>
      </c>
      <c r="B34" s="15" t="s">
        <v>36</v>
      </c>
      <c r="C34" s="9" t="s">
        <v>19</v>
      </c>
      <c r="D34" s="9" t="s">
        <v>19</v>
      </c>
      <c r="E34" s="9" t="s">
        <v>19</v>
      </c>
    </row>
    <row r="35" customFormat="false" ht="15" hidden="false" customHeight="false" outlineLevel="0" collapsed="false">
      <c r="A35" s="6" t="s">
        <v>28</v>
      </c>
      <c r="B35" s="7" t="s">
        <v>22</v>
      </c>
      <c r="C35" s="15" t="s">
        <v>36</v>
      </c>
      <c r="D35" s="7" t="s">
        <v>19</v>
      </c>
      <c r="E35" s="7" t="s">
        <v>19</v>
      </c>
    </row>
    <row r="36" customFormat="false" ht="15" hidden="false" customHeight="false" outlineLevel="0" collapsed="false">
      <c r="A36" s="10" t="s">
        <v>29</v>
      </c>
      <c r="B36" s="9" t="s">
        <v>22</v>
      </c>
      <c r="C36" s="15" t="s">
        <v>36</v>
      </c>
      <c r="D36" s="9" t="s">
        <v>19</v>
      </c>
      <c r="E36" s="9" t="s">
        <v>19</v>
      </c>
    </row>
    <row r="37" customFormat="false" ht="15" hidden="false" customHeight="false" outlineLevel="0" collapsed="false">
      <c r="A37" s="11" t="s">
        <v>30</v>
      </c>
      <c r="B37" s="7" t="s">
        <v>22</v>
      </c>
      <c r="C37" s="15" t="s">
        <v>36</v>
      </c>
      <c r="D37" s="7" t="s">
        <v>19</v>
      </c>
      <c r="E37" s="7" t="s">
        <v>19</v>
      </c>
    </row>
    <row r="38" customFormat="false" ht="15" hidden="false" customHeight="false" outlineLevel="0" collapsed="false">
      <c r="A38" s="10" t="s">
        <v>31</v>
      </c>
      <c r="B38" s="9" t="s">
        <v>22</v>
      </c>
      <c r="C38" s="9" t="s">
        <v>22</v>
      </c>
      <c r="D38" s="9" t="s">
        <v>22</v>
      </c>
      <c r="E38" s="9" t="s">
        <v>19</v>
      </c>
    </row>
    <row r="39" customFormat="false" ht="15" hidden="false" customHeight="false" outlineLevel="0" collapsed="false">
      <c r="A39" s="11" t="s">
        <v>32</v>
      </c>
      <c r="B39" s="7" t="s">
        <v>22</v>
      </c>
      <c r="C39" s="7" t="s">
        <v>22</v>
      </c>
      <c r="D39" s="7" t="s">
        <v>22</v>
      </c>
      <c r="E39" s="7" t="s">
        <v>19</v>
      </c>
    </row>
    <row r="40" customFormat="false" ht="15" hidden="false" customHeight="false" outlineLevel="0" collapsed="false">
      <c r="A40" s="8" t="s">
        <v>33</v>
      </c>
      <c r="B40" s="9" t="s">
        <v>22</v>
      </c>
      <c r="C40" s="9" t="s">
        <v>22</v>
      </c>
      <c r="D40" s="9" t="s">
        <v>22</v>
      </c>
      <c r="E40" s="9" t="s">
        <v>19</v>
      </c>
    </row>
    <row r="42" customFormat="false" ht="15" hidden="false" customHeight="false" outlineLevel="0" collapsed="false">
      <c r="A42" s="16" t="s">
        <v>37</v>
      </c>
    </row>
    <row r="44" customFormat="false" ht="12.65" hidden="false" customHeight="false" outlineLevel="0" collapsed="false">
      <c r="A44" s="3" t="s">
        <v>38</v>
      </c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false" outlineLevel="0" collapsed="false">
      <c r="A45" s="4" t="s">
        <v>39</v>
      </c>
      <c r="B45" s="4" t="s">
        <v>40</v>
      </c>
      <c r="C45" s="4" t="s">
        <v>41</v>
      </c>
      <c r="D45" s="4" t="s">
        <v>42</v>
      </c>
    </row>
    <row r="46" customFormat="false" ht="35.05" hidden="false" customHeight="false" outlineLevel="0" collapsed="false">
      <c r="A46" s="10" t="s">
        <v>43</v>
      </c>
      <c r="B46" s="10" t="s">
        <v>44</v>
      </c>
      <c r="C46" s="10" t="s">
        <v>45</v>
      </c>
      <c r="D46" s="8" t="s">
        <v>46</v>
      </c>
    </row>
    <row r="47" customFormat="false" ht="23.85" hidden="false" customHeight="false" outlineLevel="0" collapsed="false">
      <c r="A47" s="10" t="s">
        <v>47</v>
      </c>
      <c r="B47" s="10" t="s">
        <v>48</v>
      </c>
      <c r="C47" s="10" t="s">
        <v>49</v>
      </c>
      <c r="D47" s="8" t="s">
        <v>50</v>
      </c>
    </row>
    <row r="48" customFormat="false" ht="23.85" hidden="false" customHeight="false" outlineLevel="0" collapsed="false">
      <c r="A48" s="10" t="s">
        <v>51</v>
      </c>
      <c r="B48" s="10" t="s">
        <v>52</v>
      </c>
      <c r="C48" s="10" t="s">
        <v>53</v>
      </c>
      <c r="D48" s="8" t="s">
        <v>54</v>
      </c>
    </row>
  </sheetData>
  <mergeCells count="5">
    <mergeCell ref="A1:I1"/>
    <mergeCell ref="A2:I2"/>
    <mergeCell ref="A4:I4"/>
    <mergeCell ref="A23:I23"/>
    <mergeCell ref="A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5" min="2" style="0" width="13"/>
  </cols>
  <sheetData>
    <row r="1" customFormat="false" ht="16.4" hidden="false" customHeight="true" outlineLevel="0" collapsed="false">
      <c r="A1" s="17" t="s">
        <v>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3" customFormat="false" ht="15" hidden="false" customHeight="false" outlineLevel="0" collapsed="false">
      <c r="A3" s="18" t="s">
        <v>56</v>
      </c>
      <c r="B3" s="18"/>
      <c r="C3" s="18"/>
      <c r="D3" s="18"/>
      <c r="E3" s="18"/>
      <c r="F3" s="18"/>
    </row>
    <row r="4" customFormat="false" ht="15" hidden="false" customHeight="false" outlineLevel="0" collapsed="false">
      <c r="A4" s="19" t="s">
        <v>57</v>
      </c>
      <c r="B4" s="20" t="n">
        <v>50</v>
      </c>
      <c r="C4" s="19" t="s">
        <v>58</v>
      </c>
      <c r="D4" s="21" t="s">
        <v>59</v>
      </c>
    </row>
    <row r="5" customFormat="false" ht="15" hidden="false" customHeight="false" outlineLevel="0" collapsed="false">
      <c r="A5" s="22" t="s">
        <v>60</v>
      </c>
      <c r="B5" s="23" t="n">
        <v>0.08</v>
      </c>
      <c r="C5" s="22" t="s">
        <v>61</v>
      </c>
      <c r="D5" s="24" t="s">
        <v>62</v>
      </c>
    </row>
    <row r="6" customFormat="false" ht="15" hidden="false" customHeight="false" outlineLevel="0" collapsed="false">
      <c r="A6" s="22" t="s">
        <v>63</v>
      </c>
      <c r="B6" s="23" t="n">
        <v>0.15</v>
      </c>
      <c r="C6" s="22" t="s">
        <v>61</v>
      </c>
      <c r="D6" s="21" t="s">
        <v>64</v>
      </c>
    </row>
    <row r="7" customFormat="false" ht="15" hidden="false" customHeight="false" outlineLevel="0" collapsed="false">
      <c r="A7" s="22" t="s">
        <v>65</v>
      </c>
      <c r="B7" s="23" t="n">
        <v>0.1</v>
      </c>
      <c r="C7" s="22" t="s">
        <v>61</v>
      </c>
      <c r="D7" s="24" t="s">
        <v>66</v>
      </c>
    </row>
    <row r="8" customFormat="false" ht="15" hidden="false" customHeight="false" outlineLevel="0" collapsed="false">
      <c r="A8" s="22" t="s">
        <v>67</v>
      </c>
      <c r="B8" s="23" t="n">
        <v>0.05</v>
      </c>
      <c r="C8" s="22" t="s">
        <v>61</v>
      </c>
      <c r="D8" s="24" t="s">
        <v>68</v>
      </c>
    </row>
    <row r="9" customFormat="false" ht="15" hidden="false" customHeight="false" outlineLevel="0" collapsed="false">
      <c r="A9" s="22" t="s">
        <v>69</v>
      </c>
      <c r="B9" s="23" t="n">
        <v>0.05</v>
      </c>
      <c r="C9" s="22" t="s">
        <v>61</v>
      </c>
      <c r="D9" s="24" t="s">
        <v>70</v>
      </c>
    </row>
    <row r="10" customFormat="false" ht="15" hidden="false" customHeight="false" outlineLevel="0" collapsed="false">
      <c r="A10" s="22" t="s">
        <v>71</v>
      </c>
      <c r="B10" s="20" t="n">
        <v>20</v>
      </c>
      <c r="C10" s="22" t="s">
        <v>72</v>
      </c>
      <c r="D10" s="24"/>
    </row>
    <row r="11" customFormat="false" ht="15" hidden="false" customHeight="false" outlineLevel="0" collapsed="false">
      <c r="A11" s="22" t="s">
        <v>73</v>
      </c>
      <c r="B11" s="20" t="n">
        <v>80</v>
      </c>
      <c r="C11" s="22" t="s">
        <v>72</v>
      </c>
      <c r="D11" s="24"/>
    </row>
    <row r="12" customFormat="false" ht="15" hidden="false" customHeight="false" outlineLevel="0" collapsed="false">
      <c r="A12" s="22" t="s">
        <v>74</v>
      </c>
      <c r="B12" s="20" t="n">
        <v>300</v>
      </c>
      <c r="C12" s="22" t="s">
        <v>72</v>
      </c>
      <c r="D12" s="24"/>
    </row>
    <row r="13" customFormat="false" ht="15" hidden="false" customHeight="false" outlineLevel="0" collapsed="false">
      <c r="A13" s="19" t="s">
        <v>75</v>
      </c>
      <c r="B13" s="23" t="n">
        <v>0.15</v>
      </c>
      <c r="C13" s="22" t="s">
        <v>61</v>
      </c>
      <c r="D13" s="24" t="s">
        <v>76</v>
      </c>
    </row>
    <row r="14" customFormat="false" ht="15" hidden="false" customHeight="false" outlineLevel="0" collapsed="false">
      <c r="A14" s="19" t="s">
        <v>77</v>
      </c>
      <c r="B14" s="23" t="n">
        <v>0.08</v>
      </c>
      <c r="C14" s="22" t="s">
        <v>61</v>
      </c>
      <c r="D14" s="21" t="s">
        <v>78</v>
      </c>
    </row>
    <row r="15" customFormat="false" ht="15" hidden="false" customHeight="false" outlineLevel="0" collapsed="false">
      <c r="A15" s="19" t="s">
        <v>79</v>
      </c>
      <c r="B15" s="23" t="n">
        <v>0.03</v>
      </c>
      <c r="C15" s="22" t="s">
        <v>61</v>
      </c>
      <c r="D15" s="21" t="s">
        <v>80</v>
      </c>
    </row>
    <row r="18" customFormat="false" ht="12.65" hidden="false" customHeight="false" outlineLevel="0" collapsed="false">
      <c r="A18" s="25" t="s">
        <v>81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customFormat="false" ht="15" hidden="false" customHeight="false" outlineLevel="0" collapsed="false">
      <c r="A19" s="26" t="s">
        <v>82</v>
      </c>
      <c r="B19" s="27" t="s">
        <v>83</v>
      </c>
      <c r="C19" s="27" t="s">
        <v>84</v>
      </c>
      <c r="D19" s="27" t="s">
        <v>85</v>
      </c>
      <c r="E19" s="27" t="s">
        <v>86</v>
      </c>
      <c r="F19" s="27" t="s">
        <v>87</v>
      </c>
      <c r="G19" s="27" t="s">
        <v>88</v>
      </c>
      <c r="H19" s="27" t="s">
        <v>89</v>
      </c>
      <c r="I19" s="27" t="s">
        <v>90</v>
      </c>
      <c r="J19" s="27" t="s">
        <v>91</v>
      </c>
      <c r="K19" s="27" t="s">
        <v>92</v>
      </c>
      <c r="L19" s="27" t="s">
        <v>93</v>
      </c>
      <c r="M19" s="27" t="s">
        <v>94</v>
      </c>
      <c r="N19" s="26" t="s">
        <v>95</v>
      </c>
    </row>
    <row r="20" customFormat="false" ht="15" hidden="false" customHeight="false" outlineLevel="0" collapsed="false">
      <c r="A20" s="19" t="s">
        <v>96</v>
      </c>
      <c r="B20" s="28" t="n">
        <f aca="false">$B$4</f>
        <v>50</v>
      </c>
      <c r="C20" s="28" t="n">
        <f aca="false">$B$4</f>
        <v>50</v>
      </c>
      <c r="D20" s="28" t="n">
        <f aca="false">$B$4</f>
        <v>50</v>
      </c>
      <c r="E20" s="28" t="n">
        <f aca="false">$B$4</f>
        <v>50</v>
      </c>
      <c r="F20" s="28" t="n">
        <f aca="false">$B$4</f>
        <v>50</v>
      </c>
      <c r="G20" s="28" t="n">
        <f aca="false">$B$4</f>
        <v>50</v>
      </c>
      <c r="H20" s="28" t="n">
        <f aca="false">$B$4</f>
        <v>50</v>
      </c>
      <c r="I20" s="28" t="n">
        <f aca="false">$B$4</f>
        <v>50</v>
      </c>
      <c r="J20" s="28" t="n">
        <f aca="false">$B$4</f>
        <v>50</v>
      </c>
      <c r="K20" s="28" t="n">
        <f aca="false">$B$4</f>
        <v>50</v>
      </c>
      <c r="L20" s="28" t="n">
        <f aca="false">$B$4</f>
        <v>50</v>
      </c>
      <c r="M20" s="28" t="n">
        <f aca="false">$B$4</f>
        <v>50</v>
      </c>
    </row>
    <row r="21" customFormat="false" ht="15" hidden="false" customHeight="false" outlineLevel="0" collapsed="false">
      <c r="A21" s="19" t="s">
        <v>97</v>
      </c>
      <c r="B21" s="28" t="n">
        <f aca="false">B20</f>
        <v>50</v>
      </c>
      <c r="C21" s="28" t="n">
        <f aca="false">(B21*(1-$B$13))+C20-C22</f>
        <v>88.5</v>
      </c>
      <c r="D21" s="28" t="n">
        <f aca="false">(C21*(1-$B$13))+D20-D22</f>
        <v>118.225</v>
      </c>
      <c r="E21" s="28" t="n">
        <f aca="false">(D21*(1-$B$13))+E20-E22</f>
        <v>141.49125</v>
      </c>
      <c r="F21" s="28" t="n">
        <f aca="false">(E21*(1-$B$13))+F20-F22</f>
        <v>159.2675625</v>
      </c>
      <c r="G21" s="28" t="n">
        <f aca="false">(F21*(1-$B$13))+G20-G22</f>
        <v>172.377428125</v>
      </c>
      <c r="H21" s="28" t="n">
        <f aca="false">(G21*(1-$B$13))+H20-H22</f>
        <v>182.52081390625</v>
      </c>
      <c r="I21" s="28" t="n">
        <f aca="false">(H21*(1-$B$13))+I20-I22</f>
        <v>190.142691820313</v>
      </c>
      <c r="J21" s="28" t="n">
        <f aca="false">(I21*(1-$B$13))+J20-J22</f>
        <v>196.621288047266</v>
      </c>
      <c r="K21" s="28" t="n">
        <f aca="false">(J21*(1-$B$13))+K20-K22</f>
        <v>201.128094840176</v>
      </c>
      <c r="L21" s="28" t="n">
        <f aca="false">(K21*(1-$B$13))+L20-L22</f>
        <v>204.958880614149</v>
      </c>
      <c r="M21" s="28" t="n">
        <f aca="false">(L21*(1-$B$13))+M20-M22</f>
        <v>208.215048522027</v>
      </c>
    </row>
    <row r="22" customFormat="false" ht="15" hidden="false" customHeight="false" outlineLevel="0" collapsed="false">
      <c r="A22" s="22" t="s">
        <v>98</v>
      </c>
      <c r="B22" s="28" t="n">
        <f aca="false">ROUND(B21*$B$5,0)</f>
        <v>4</v>
      </c>
      <c r="C22" s="28" t="n">
        <f aca="false">ROUND(B21*$B$5,0)</f>
        <v>4</v>
      </c>
      <c r="D22" s="28" t="n">
        <f aca="false">ROUND(C21*$B$5,0)</f>
        <v>7</v>
      </c>
      <c r="E22" s="28" t="n">
        <f aca="false">ROUND(D21*$B$5,0)</f>
        <v>9</v>
      </c>
      <c r="F22" s="28" t="n">
        <f aca="false">ROUND(E21*$B$5,0)</f>
        <v>11</v>
      </c>
      <c r="G22" s="28" t="n">
        <f aca="false">ROUND(F21*$B$5,0)</f>
        <v>13</v>
      </c>
      <c r="H22" s="28" t="n">
        <f aca="false">ROUND(G21*$B$5,0)</f>
        <v>14</v>
      </c>
      <c r="I22" s="28" t="n">
        <f aca="false">ROUND(H21*$B$5,0)</f>
        <v>15</v>
      </c>
      <c r="J22" s="28" t="n">
        <f aca="false">ROUND(I21*$B$5,0)</f>
        <v>15</v>
      </c>
      <c r="K22" s="28" t="n">
        <f aca="false">ROUND(J21*$B$5,0)</f>
        <v>16</v>
      </c>
      <c r="L22" s="28" t="n">
        <f aca="false">ROUND(K21*$B$5,0)</f>
        <v>16</v>
      </c>
      <c r="M22" s="28" t="n">
        <f aca="false">ROUND(L21*$B$5,0)</f>
        <v>16</v>
      </c>
    </row>
    <row r="23" customFormat="false" ht="15" hidden="false" customHeight="false" outlineLevel="0" collapsed="false">
      <c r="A23" s="19" t="s">
        <v>99</v>
      </c>
      <c r="B23" s="28" t="n">
        <f aca="false">B22</f>
        <v>4</v>
      </c>
      <c r="C23" s="28" t="n">
        <f aca="false">(B23*(1-$B$15))+C22-C24</f>
        <v>7.88</v>
      </c>
      <c r="D23" s="28" t="n">
        <f aca="false">(C23*(1-$B$15))+D22-D24</f>
        <v>13.6436</v>
      </c>
      <c r="E23" s="28" t="n">
        <f aca="false">(D23*(1-$B$15))+E22-E24</f>
        <v>21.234292</v>
      </c>
      <c r="F23" s="28" t="n">
        <f aca="false">(E23*(1-$B$15))+F22-F24</f>
        <v>29.59726324</v>
      </c>
      <c r="G23" s="28" t="n">
        <f aca="false">(F23*(1-$B$15))+G22-G24</f>
        <v>38.7093453428</v>
      </c>
      <c r="H23" s="28" t="n">
        <f aca="false">(G23*(1-$B$15))+H22-H24</f>
        <v>47.548064982516</v>
      </c>
      <c r="I23" s="28" t="n">
        <f aca="false">(H23*(1-$B$15))+I22-I24</f>
        <v>56.1216230330405</v>
      </c>
      <c r="J23" s="28" t="n">
        <f aca="false">(I23*(1-$B$15))+J22-J24</f>
        <v>63.4379743420493</v>
      </c>
      <c r="K23" s="28" t="n">
        <f aca="false">(J23*(1-$B$15))+K22-K24</f>
        <v>71.5348351117878</v>
      </c>
      <c r="L23" s="28" t="n">
        <f aca="false">(K23*(1-$B$15))+L22-L24</f>
        <v>78.3887900584342</v>
      </c>
      <c r="M23" s="28" t="n">
        <f aca="false">(L23*(1-$B$15))+M22-M24</f>
        <v>84.0371263566811</v>
      </c>
    </row>
    <row r="24" customFormat="false" ht="15" hidden="false" customHeight="false" outlineLevel="0" collapsed="false">
      <c r="A24" s="22" t="s">
        <v>100</v>
      </c>
      <c r="B24" s="28" t="n">
        <v>0</v>
      </c>
      <c r="C24" s="28" t="n">
        <f aca="false">ROUND(B23*$B$7,0)</f>
        <v>0</v>
      </c>
      <c r="D24" s="28" t="n">
        <f aca="false">ROUND(C23*$B$7,0)</f>
        <v>1</v>
      </c>
      <c r="E24" s="28" t="n">
        <f aca="false">ROUND(D23*$B$7,0)</f>
        <v>1</v>
      </c>
      <c r="F24" s="28" t="n">
        <f aca="false">ROUND(E23*$B$7,0)</f>
        <v>2</v>
      </c>
      <c r="G24" s="28" t="n">
        <f aca="false">ROUND(F23*$B$7,0)</f>
        <v>3</v>
      </c>
      <c r="H24" s="28" t="n">
        <f aca="false">ROUND(G23*$B$7,0)</f>
        <v>4</v>
      </c>
      <c r="I24" s="28" t="n">
        <f aca="false">ROUND(H23*$B$7,0)</f>
        <v>5</v>
      </c>
      <c r="J24" s="28" t="n">
        <f aca="false">ROUND(I23*$B$7,0)</f>
        <v>6</v>
      </c>
      <c r="K24" s="28" t="n">
        <f aca="false">ROUND(J23*$B$7,0)</f>
        <v>6</v>
      </c>
      <c r="L24" s="28" t="n">
        <f aca="false">ROUND(K23*$B$7,0)</f>
        <v>7</v>
      </c>
      <c r="M24" s="28" t="n">
        <f aca="false">ROUND(L23*$B$7,0)</f>
        <v>8</v>
      </c>
    </row>
    <row r="25" customFormat="false" ht="15" hidden="false" customHeight="false" outlineLevel="0" collapsed="false">
      <c r="A25" s="19" t="s">
        <v>101</v>
      </c>
      <c r="B25" s="28" t="n">
        <f aca="false">B24</f>
        <v>0</v>
      </c>
      <c r="C25" s="28" t="n">
        <f aca="false">(B25*(1-$B$15))+C24-C26</f>
        <v>0</v>
      </c>
      <c r="D25" s="28" t="n">
        <f aca="false">(C25*(1-$B$15))+D24-D26</f>
        <v>1</v>
      </c>
      <c r="E25" s="28" t="n">
        <f aca="false">(D25*(1-$B$15))+E24-E26</f>
        <v>1.97</v>
      </c>
      <c r="F25" s="28" t="n">
        <f aca="false">(E25*(1-$B$15))+F24-F26</f>
        <v>3.9109</v>
      </c>
      <c r="G25" s="28" t="n">
        <f aca="false">(F25*(1-$B$15))+G24-G26</f>
        <v>6.793573</v>
      </c>
      <c r="H25" s="28" t="n">
        <f aca="false">(G25*(1-$B$15))+H24-H26</f>
        <v>10.58976581</v>
      </c>
      <c r="I25" s="28" t="n">
        <f aca="false">(H25*(1-$B$15))+I24-I26</f>
        <v>14.2720728357</v>
      </c>
      <c r="J25" s="28" t="n">
        <f aca="false">(I25*(1-$B$15))+J24-J26</f>
        <v>18.843910650629</v>
      </c>
      <c r="K25" s="28" t="n">
        <f aca="false">(J25*(1-$B$15))+K24-K26</f>
        <v>23.2785933311101</v>
      </c>
      <c r="L25" s="28" t="n">
        <f aca="false">(K25*(1-$B$15))+L24-L26</f>
        <v>28.5802355311768</v>
      </c>
      <c r="M25" s="28" t="n">
        <f aca="false">(L25*(1-$B$15))+M24-M26</f>
        <v>34.7228284652415</v>
      </c>
    </row>
    <row r="26" customFormat="false" ht="15" hidden="false" customHeight="false" outlineLevel="0" collapsed="false">
      <c r="A26" s="22" t="s">
        <v>102</v>
      </c>
      <c r="B26" s="28" t="n">
        <v>0</v>
      </c>
      <c r="C26" s="28" t="n">
        <f aca="false">ROUND(B25*$B$9,0)</f>
        <v>0</v>
      </c>
      <c r="D26" s="28" t="n">
        <f aca="false">ROUND(C25*$B$9,0)</f>
        <v>0</v>
      </c>
      <c r="E26" s="28" t="n">
        <f aca="false">ROUND(D25*$B$9,0)</f>
        <v>0</v>
      </c>
      <c r="F26" s="28" t="n">
        <f aca="false">ROUND(E25*$B$9,0)</f>
        <v>0</v>
      </c>
      <c r="G26" s="28" t="n">
        <f aca="false">ROUND(F25*$B$9,0)</f>
        <v>0</v>
      </c>
      <c r="H26" s="28" t="n">
        <f aca="false">ROUND(G25*$B$9,0)</f>
        <v>0</v>
      </c>
      <c r="I26" s="28" t="n">
        <f aca="false">ROUND(H25*$B$9,0)</f>
        <v>1</v>
      </c>
      <c r="J26" s="28" t="n">
        <f aca="false">ROUND(I25*$B$9,0)</f>
        <v>1</v>
      </c>
      <c r="K26" s="28" t="n">
        <f aca="false">ROUND(J25*$B$9,0)</f>
        <v>1</v>
      </c>
      <c r="L26" s="28" t="n">
        <f aca="false">ROUND(K25*$B$9,0)</f>
        <v>1</v>
      </c>
      <c r="M26" s="28" t="n">
        <f aca="false">ROUND(L25*$B$9,0)</f>
        <v>1</v>
      </c>
    </row>
    <row r="27" customFormat="false" ht="15" hidden="false" customHeight="false" outlineLevel="0" collapsed="false">
      <c r="A27" s="19" t="s">
        <v>103</v>
      </c>
      <c r="B27" s="28" t="n">
        <f aca="false">B26</f>
        <v>0</v>
      </c>
      <c r="C27" s="28" t="n">
        <f aca="false">(B27*(1-$B$15))+C26</f>
        <v>0</v>
      </c>
      <c r="D27" s="28" t="n">
        <f aca="false">(C27*(1-$B$15))+D26</f>
        <v>0</v>
      </c>
      <c r="E27" s="28" t="n">
        <f aca="false">(D27*(1-$B$15))+E26</f>
        <v>0</v>
      </c>
      <c r="F27" s="28" t="n">
        <f aca="false">(E27*(1-$B$15))+F26</f>
        <v>0</v>
      </c>
      <c r="G27" s="28" t="n">
        <f aca="false">(F27*(1-$B$15))+G26</f>
        <v>0</v>
      </c>
      <c r="H27" s="28" t="n">
        <f aca="false">(G27*(1-$B$15))+H26</f>
        <v>0</v>
      </c>
      <c r="I27" s="28" t="n">
        <f aca="false">(H27*(1-$B$15))+I26</f>
        <v>1</v>
      </c>
      <c r="J27" s="28" t="n">
        <f aca="false">(I27*(1-$B$15))+J26</f>
        <v>1.97</v>
      </c>
      <c r="K27" s="28" t="n">
        <f aca="false">(J27*(1-$B$15))+K26</f>
        <v>2.9109</v>
      </c>
      <c r="L27" s="28" t="n">
        <f aca="false">(K27*(1-$B$15))+L26</f>
        <v>3.823573</v>
      </c>
      <c r="M27" s="28" t="n">
        <f aca="false">(L27*(1-$B$15))+M26</f>
        <v>4.70886581</v>
      </c>
    </row>
    <row r="28" customFormat="false" ht="15" hidden="false" customHeight="false" outlineLevel="0" collapsed="false">
      <c r="A28" s="29"/>
    </row>
    <row r="29" customFormat="false" ht="15" hidden="false" customHeight="false" outlineLevel="0" collapsed="false">
      <c r="A29" s="22" t="s">
        <v>104</v>
      </c>
      <c r="B29" s="30" t="n">
        <f aca="false">B23*$B$10</f>
        <v>80</v>
      </c>
      <c r="C29" s="30" t="n">
        <f aca="false">C23*$B$10</f>
        <v>157.6</v>
      </c>
      <c r="D29" s="30" t="n">
        <f aca="false">D23*$B$10</f>
        <v>272.872</v>
      </c>
      <c r="E29" s="30" t="n">
        <f aca="false">E23*$B$10</f>
        <v>424.68584</v>
      </c>
      <c r="F29" s="30" t="n">
        <f aca="false">F23*$B$10</f>
        <v>591.9452648</v>
      </c>
      <c r="G29" s="30" t="n">
        <f aca="false">G23*$B$10</f>
        <v>774.186906856</v>
      </c>
      <c r="H29" s="30" t="n">
        <f aca="false">H23*$B$10</f>
        <v>950.96129965032</v>
      </c>
      <c r="I29" s="30" t="n">
        <f aca="false">I23*$B$10</f>
        <v>1122.43246066081</v>
      </c>
      <c r="J29" s="30" t="n">
        <f aca="false">J23*$B$10</f>
        <v>1268.75948684099</v>
      </c>
      <c r="K29" s="30" t="n">
        <f aca="false">K23*$B$10</f>
        <v>1430.69670223576</v>
      </c>
      <c r="L29" s="30" t="n">
        <f aca="false">L23*$B$10</f>
        <v>1567.77580116868</v>
      </c>
      <c r="M29" s="30" t="n">
        <f aca="false">M23*$B$10</f>
        <v>1680.74252713362</v>
      </c>
      <c r="N29" s="31" t="n">
        <f aca="false">SUM(B29:M29)</f>
        <v>10322.6582893462</v>
      </c>
    </row>
    <row r="30" customFormat="false" ht="15" hidden="false" customHeight="false" outlineLevel="0" collapsed="false">
      <c r="A30" s="22" t="s">
        <v>105</v>
      </c>
      <c r="B30" s="30" t="n">
        <f aca="false">B25*$B$11</f>
        <v>0</v>
      </c>
      <c r="C30" s="30" t="n">
        <f aca="false">C25*$B$11</f>
        <v>0</v>
      </c>
      <c r="D30" s="30" t="n">
        <f aca="false">D25*$B$11</f>
        <v>80</v>
      </c>
      <c r="E30" s="30" t="n">
        <f aca="false">E25*$B$11</f>
        <v>157.6</v>
      </c>
      <c r="F30" s="30" t="n">
        <f aca="false">F25*$B$11</f>
        <v>312.872</v>
      </c>
      <c r="G30" s="30" t="n">
        <f aca="false">G25*$B$11</f>
        <v>543.48584</v>
      </c>
      <c r="H30" s="30" t="n">
        <f aca="false">H25*$B$11</f>
        <v>847.1812648</v>
      </c>
      <c r="I30" s="30" t="n">
        <f aca="false">I25*$B$11</f>
        <v>1141.765826856</v>
      </c>
      <c r="J30" s="30" t="n">
        <f aca="false">J25*$B$11</f>
        <v>1507.51285205032</v>
      </c>
      <c r="K30" s="30" t="n">
        <f aca="false">K25*$B$11</f>
        <v>1862.28746648881</v>
      </c>
      <c r="L30" s="30" t="n">
        <f aca="false">L25*$B$11</f>
        <v>2286.41884249415</v>
      </c>
      <c r="M30" s="30" t="n">
        <f aca="false">M25*$B$11</f>
        <v>2777.82627721932</v>
      </c>
      <c r="N30" s="31" t="n">
        <f aca="false">SUM(B30:M30)</f>
        <v>11516.9503699086</v>
      </c>
    </row>
    <row r="31" customFormat="false" ht="15" hidden="false" customHeight="false" outlineLevel="0" collapsed="false">
      <c r="A31" s="22" t="s">
        <v>106</v>
      </c>
      <c r="B31" s="30" t="n">
        <f aca="false">B27*$B$12</f>
        <v>0</v>
      </c>
      <c r="C31" s="30" t="n">
        <f aca="false">C27*$B$12</f>
        <v>0</v>
      </c>
      <c r="D31" s="30" t="n">
        <f aca="false">D27*$B$12</f>
        <v>0</v>
      </c>
      <c r="E31" s="30" t="n">
        <f aca="false">E27*$B$12</f>
        <v>0</v>
      </c>
      <c r="F31" s="30" t="n">
        <f aca="false">F27*$B$12</f>
        <v>0</v>
      </c>
      <c r="G31" s="30" t="n">
        <f aca="false">G27*$B$12</f>
        <v>0</v>
      </c>
      <c r="H31" s="30" t="n">
        <f aca="false">H27*$B$12</f>
        <v>0</v>
      </c>
      <c r="I31" s="30" t="n">
        <f aca="false">I27*$B$12</f>
        <v>300</v>
      </c>
      <c r="J31" s="30" t="n">
        <f aca="false">J27*$B$12</f>
        <v>591</v>
      </c>
      <c r="K31" s="30" t="n">
        <f aca="false">K27*$B$12</f>
        <v>873.27</v>
      </c>
      <c r="L31" s="30" t="n">
        <f aca="false">L27*$B$12</f>
        <v>1147.0719</v>
      </c>
      <c r="M31" s="30" t="n">
        <f aca="false">M27*$B$12</f>
        <v>1412.659743</v>
      </c>
      <c r="N31" s="31" t="n">
        <f aca="false">SUM(B31:M31)</f>
        <v>4324.001643</v>
      </c>
    </row>
    <row r="32" customFormat="false" ht="15" hidden="false" customHeight="false" outlineLevel="0" collapsed="false">
      <c r="A32" s="32" t="s">
        <v>107</v>
      </c>
      <c r="B32" s="33" t="n">
        <f aca="false">B29+B30+B31</f>
        <v>80</v>
      </c>
      <c r="C32" s="33" t="n">
        <f aca="false">C29+C30+C31</f>
        <v>157.6</v>
      </c>
      <c r="D32" s="33" t="n">
        <f aca="false">D29+D30+D31</f>
        <v>352.872</v>
      </c>
      <c r="E32" s="33" t="n">
        <f aca="false">E29+E30+E31</f>
        <v>582.28584</v>
      </c>
      <c r="F32" s="33" t="n">
        <f aca="false">F29+F30+F31</f>
        <v>904.8172648</v>
      </c>
      <c r="G32" s="33" t="n">
        <f aca="false">G29+G30+G31</f>
        <v>1317.672746856</v>
      </c>
      <c r="H32" s="33" t="n">
        <f aca="false">H29+H30+H31</f>
        <v>1798.14256445032</v>
      </c>
      <c r="I32" s="33" t="n">
        <f aca="false">I29+I30+I31</f>
        <v>2564.19828751681</v>
      </c>
      <c r="J32" s="33" t="n">
        <f aca="false">J29+J30+J31</f>
        <v>3367.27233889131</v>
      </c>
      <c r="K32" s="33" t="n">
        <f aca="false">K29+K30+K31</f>
        <v>4166.25416872457</v>
      </c>
      <c r="L32" s="33" t="n">
        <f aca="false">L29+L30+L31</f>
        <v>5001.26654366283</v>
      </c>
      <c r="M32" s="33" t="n">
        <f aca="false">M29+M30+M31</f>
        <v>5871.22854735295</v>
      </c>
      <c r="N32" s="31" t="n">
        <f aca="false">SUM(B32:M32)</f>
        <v>26163.6103022548</v>
      </c>
    </row>
    <row r="33" customFormat="false" ht="15" hidden="false" customHeight="false" outlineLevel="0" collapsed="false">
      <c r="A33" s="32" t="s">
        <v>108</v>
      </c>
      <c r="B33" s="34" t="n">
        <f aca="false">B32</f>
        <v>80</v>
      </c>
      <c r="C33" s="34" t="n">
        <f aca="false">B33+C32</f>
        <v>237.6</v>
      </c>
      <c r="D33" s="34" t="n">
        <f aca="false">C33+D32</f>
        <v>590.472</v>
      </c>
      <c r="E33" s="34" t="n">
        <f aca="false">D33+E32</f>
        <v>1172.75784</v>
      </c>
      <c r="F33" s="34" t="n">
        <f aca="false">E33+F32</f>
        <v>2077.5751048</v>
      </c>
      <c r="G33" s="34" t="n">
        <f aca="false">F33+G32</f>
        <v>3395.247851656</v>
      </c>
      <c r="H33" s="34" t="n">
        <f aca="false">G33+H32</f>
        <v>5193.39041610632</v>
      </c>
      <c r="I33" s="34" t="n">
        <f aca="false">H33+I32</f>
        <v>7757.58870362313</v>
      </c>
      <c r="J33" s="34" t="n">
        <f aca="false">I33+J32</f>
        <v>11124.8610425144</v>
      </c>
      <c r="K33" s="34" t="n">
        <f aca="false">J33+K32</f>
        <v>15291.115211239</v>
      </c>
      <c r="L33" s="34" t="n">
        <f aca="false">K33+L32</f>
        <v>20292.3817549018</v>
      </c>
      <c r="M33" s="34" t="n">
        <f aca="false">L33+M32</f>
        <v>26163.6103022548</v>
      </c>
      <c r="N33" s="31" t="n">
        <f aca="false">M33</f>
        <v>26163.6103022548</v>
      </c>
    </row>
    <row r="36" customFormat="false" ht="12.65" hidden="false" customHeight="false" outlineLevel="0" collapsed="false">
      <c r="A36" s="35" t="s">
        <v>109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customFormat="false" ht="15" hidden="false" customHeight="false" outlineLevel="0" collapsed="false">
      <c r="A37" s="13" t="s">
        <v>82</v>
      </c>
      <c r="B37" s="14" t="s">
        <v>83</v>
      </c>
      <c r="C37" s="14" t="s">
        <v>84</v>
      </c>
      <c r="D37" s="14" t="s">
        <v>85</v>
      </c>
      <c r="E37" s="14" t="s">
        <v>86</v>
      </c>
      <c r="F37" s="14" t="s">
        <v>87</v>
      </c>
      <c r="G37" s="14" t="s">
        <v>88</v>
      </c>
      <c r="H37" s="14" t="s">
        <v>89</v>
      </c>
      <c r="I37" s="14" t="s">
        <v>90</v>
      </c>
      <c r="J37" s="14" t="s">
        <v>91</v>
      </c>
      <c r="K37" s="14" t="s">
        <v>92</v>
      </c>
      <c r="L37" s="14" t="s">
        <v>93</v>
      </c>
      <c r="M37" s="14" t="s">
        <v>94</v>
      </c>
      <c r="N37" s="13" t="s">
        <v>95</v>
      </c>
    </row>
    <row r="38" customFormat="false" ht="15" hidden="false" customHeight="false" outlineLevel="0" collapsed="false">
      <c r="A38" s="19" t="s">
        <v>96</v>
      </c>
      <c r="B38" s="28" t="n">
        <f aca="false">ROUND($B$4*1.3,0)</f>
        <v>65</v>
      </c>
      <c r="C38" s="28" t="n">
        <f aca="false">ROUND($B$4*1.3,0)</f>
        <v>65</v>
      </c>
      <c r="D38" s="28" t="n">
        <f aca="false">ROUND($B$4*1.3,0)</f>
        <v>65</v>
      </c>
      <c r="E38" s="28" t="n">
        <f aca="false">ROUND($B$4*1.3,0)</f>
        <v>65</v>
      </c>
      <c r="F38" s="28" t="n">
        <f aca="false">ROUND($B$4*1.3,0)</f>
        <v>65</v>
      </c>
      <c r="G38" s="28" t="n">
        <f aca="false">ROUND($B$4*1.3,0)</f>
        <v>65</v>
      </c>
      <c r="H38" s="28" t="n">
        <f aca="false">ROUND($B$4*1.3,0)</f>
        <v>65</v>
      </c>
      <c r="I38" s="28" t="n">
        <f aca="false">ROUND($B$4*1.3,0)</f>
        <v>65</v>
      </c>
      <c r="J38" s="28" t="n">
        <f aca="false">ROUND($B$4*1.3,0)</f>
        <v>65</v>
      </c>
      <c r="K38" s="28" t="n">
        <f aca="false">ROUND($B$4*1.3,0)</f>
        <v>65</v>
      </c>
      <c r="L38" s="28" t="n">
        <f aca="false">ROUND($B$4*1.3,0)</f>
        <v>65</v>
      </c>
      <c r="M38" s="28" t="n">
        <f aca="false">ROUND($B$4*1.3,0)</f>
        <v>65</v>
      </c>
    </row>
    <row r="39" customFormat="false" ht="15" hidden="false" customHeight="false" outlineLevel="0" collapsed="false">
      <c r="A39" s="19" t="s">
        <v>97</v>
      </c>
      <c r="B39" s="28" t="n">
        <f aca="false">B38</f>
        <v>65</v>
      </c>
      <c r="C39" s="28" t="n">
        <f aca="false">(B39*(1-$B$14))+C38-C40</f>
        <v>114.8</v>
      </c>
      <c r="D39" s="28" t="n">
        <f aca="false">(C39*(1-$B$14))+D38-D40</f>
        <v>153.616</v>
      </c>
      <c r="E39" s="28" t="n">
        <f aca="false">(D39*(1-$B$14))+E38-E40</f>
        <v>183.32672</v>
      </c>
      <c r="F39" s="28" t="n">
        <f aca="false">(E39*(1-$B$14))+F38-F40</f>
        <v>206.6605824</v>
      </c>
      <c r="G39" s="28" t="n">
        <f aca="false">(F39*(1-$B$14))+G38-G40</f>
        <v>224.127735808</v>
      </c>
      <c r="H39" s="28" t="n">
        <f aca="false">(G39*(1-$B$14))+H38-H40</f>
        <v>237.19751694336</v>
      </c>
      <c r="I39" s="28" t="n">
        <f aca="false">(H39*(1-$B$14))+I38-I40</f>
        <v>247.221715587891</v>
      </c>
      <c r="J39" s="28" t="n">
        <f aca="false">(I39*(1-$B$14))+J38-J40</f>
        <v>255.44397834086</v>
      </c>
      <c r="K39" s="28" t="n">
        <f aca="false">(J39*(1-$B$14))+K38-K40</f>
        <v>262.008460073591</v>
      </c>
      <c r="L39" s="28" t="n">
        <f aca="false">(K39*(1-$B$14))+L38-L40</f>
        <v>267.047783267704</v>
      </c>
      <c r="M39" s="28" t="n">
        <f aca="false">(L39*(1-$B$14))+M38-M40</f>
        <v>270.683960606288</v>
      </c>
    </row>
    <row r="40" customFormat="false" ht="15" hidden="false" customHeight="false" outlineLevel="0" collapsed="false">
      <c r="A40" s="22" t="s">
        <v>98</v>
      </c>
      <c r="B40" s="28" t="n">
        <f aca="false">ROUND(B39*$B$6,0)</f>
        <v>10</v>
      </c>
      <c r="C40" s="28" t="n">
        <f aca="false">ROUND(B39*$B$6,0)</f>
        <v>10</v>
      </c>
      <c r="D40" s="28" t="n">
        <f aca="false">ROUND(C39*$B$6,0)</f>
        <v>17</v>
      </c>
      <c r="E40" s="28" t="n">
        <f aca="false">ROUND(D39*$B$6,0)</f>
        <v>23</v>
      </c>
      <c r="F40" s="28" t="n">
        <f aca="false">ROUND(E39*$B$6,0)</f>
        <v>27</v>
      </c>
      <c r="G40" s="28" t="n">
        <f aca="false">ROUND(F39*$B$6,0)</f>
        <v>31</v>
      </c>
      <c r="H40" s="28" t="n">
        <f aca="false">ROUND(G39*$B$6,0)</f>
        <v>34</v>
      </c>
      <c r="I40" s="28" t="n">
        <f aca="false">ROUND(H39*$B$6,0)</f>
        <v>36</v>
      </c>
      <c r="J40" s="28" t="n">
        <f aca="false">ROUND(I39*$B$6,0)</f>
        <v>37</v>
      </c>
      <c r="K40" s="28" t="n">
        <f aca="false">ROUND(J39*$B$6,0)</f>
        <v>38</v>
      </c>
      <c r="L40" s="28" t="n">
        <f aca="false">ROUND(K39*$B$6,0)</f>
        <v>39</v>
      </c>
      <c r="M40" s="28" t="n">
        <f aca="false">ROUND(L39*$B$6,0)</f>
        <v>40</v>
      </c>
    </row>
    <row r="41" customFormat="false" ht="15" hidden="false" customHeight="false" outlineLevel="0" collapsed="false">
      <c r="A41" s="19" t="s">
        <v>99</v>
      </c>
      <c r="B41" s="28" t="n">
        <f aca="false">B40</f>
        <v>10</v>
      </c>
      <c r="C41" s="28" t="n">
        <f aca="false">(B41*(1-$B$15))+C40-C42</f>
        <v>18.7</v>
      </c>
      <c r="D41" s="28" t="n">
        <f aca="false">(C41*(1-$B$15))+D40-D42</f>
        <v>34.139</v>
      </c>
      <c r="E41" s="28" t="n">
        <f aca="false">(D41*(1-$B$15))+E40-E42</f>
        <v>54.11483</v>
      </c>
      <c r="F41" s="28" t="n">
        <f aca="false">(E41*(1-$B$15))+F40-F42</f>
        <v>76.4913851</v>
      </c>
      <c r="G41" s="28" t="n">
        <f aca="false">(F41*(1-$B$15))+G40-G42</f>
        <v>101.196643547</v>
      </c>
      <c r="H41" s="28" t="n">
        <f aca="false">(G41*(1-$B$15))+H40-H42</f>
        <v>127.16074424059</v>
      </c>
      <c r="I41" s="28" t="n">
        <f aca="false">(H41*(1-$B$15))+I40-I42</f>
        <v>153.345921913372</v>
      </c>
      <c r="J41" s="28" t="n">
        <f aca="false">(I41*(1-$B$15))+J40-J42</f>
        <v>177.745544255971</v>
      </c>
      <c r="K41" s="28" t="n">
        <f aca="false">(J41*(1-$B$15))+K40-K42</f>
        <v>201.413177928292</v>
      </c>
      <c r="L41" s="28" t="n">
        <f aca="false">(K41*(1-$B$15))+L40-L42</f>
        <v>224.370782590443</v>
      </c>
      <c r="M41" s="28" t="n">
        <f aca="false">(L41*(1-$B$15))+M40-M42</f>
        <v>246.63965911273</v>
      </c>
    </row>
    <row r="42" customFormat="false" ht="15" hidden="false" customHeight="false" outlineLevel="0" collapsed="false">
      <c r="A42" s="22" t="s">
        <v>100</v>
      </c>
      <c r="B42" s="28" t="n">
        <v>0</v>
      </c>
      <c r="C42" s="28" t="n">
        <f aca="false">ROUND(B41*$B$8,0)</f>
        <v>1</v>
      </c>
      <c r="D42" s="28" t="n">
        <f aca="false">ROUND(C41*$B$8,0)</f>
        <v>1</v>
      </c>
      <c r="E42" s="28" t="n">
        <f aca="false">ROUND(D41*$B$8,0)</f>
        <v>2</v>
      </c>
      <c r="F42" s="28" t="n">
        <f aca="false">ROUND(E41*$B$8,0)</f>
        <v>3</v>
      </c>
      <c r="G42" s="28" t="n">
        <f aca="false">ROUND(F41*$B$8,0)</f>
        <v>4</v>
      </c>
      <c r="H42" s="28" t="n">
        <f aca="false">ROUND(G41*$B$8,0)</f>
        <v>5</v>
      </c>
      <c r="I42" s="28" t="n">
        <f aca="false">ROUND(H41*$B$8,0)</f>
        <v>6</v>
      </c>
      <c r="J42" s="28" t="n">
        <f aca="false">ROUND(I41*$B$8,0)</f>
        <v>8</v>
      </c>
      <c r="K42" s="28" t="n">
        <f aca="false">ROUND(J41*$B$8,0)</f>
        <v>9</v>
      </c>
      <c r="L42" s="28" t="n">
        <f aca="false">ROUND(K41*$B$8,0)</f>
        <v>10</v>
      </c>
      <c r="M42" s="28" t="n">
        <f aca="false">ROUND(L41*$B$8,0)</f>
        <v>11</v>
      </c>
    </row>
    <row r="43" customFormat="false" ht="15" hidden="false" customHeight="false" outlineLevel="0" collapsed="false">
      <c r="A43" s="19" t="s">
        <v>101</v>
      </c>
      <c r="B43" s="28" t="n">
        <f aca="false">B42</f>
        <v>0</v>
      </c>
      <c r="C43" s="28" t="n">
        <f aca="false">(B43*(1-$B$15))+C42-C44</f>
        <v>1</v>
      </c>
      <c r="D43" s="28" t="n">
        <f aca="false">(C43*(1-$B$15))+D42-D44</f>
        <v>1.97</v>
      </c>
      <c r="E43" s="28" t="n">
        <f aca="false">(D43*(1-$B$15))+E42-E44</f>
        <v>3.9109</v>
      </c>
      <c r="F43" s="28" t="n">
        <f aca="false">(E43*(1-$B$15))+F42-F44</f>
        <v>6.793573</v>
      </c>
      <c r="G43" s="28" t="n">
        <f aca="false">(F43*(1-$B$15))+G42-G44</f>
        <v>10.58976581</v>
      </c>
      <c r="H43" s="28" t="n">
        <f aca="false">(G43*(1-$B$15))+H42-H44</f>
        <v>14.2720728357</v>
      </c>
      <c r="I43" s="28" t="n">
        <f aca="false">(H43*(1-$B$15))+I42-I44</f>
        <v>18.843910650629</v>
      </c>
      <c r="J43" s="28" t="n">
        <f aca="false">(I43*(1-$B$15))+J42-J44</f>
        <v>25.2785933311101</v>
      </c>
      <c r="K43" s="28" t="n">
        <f aca="false">(J43*(1-$B$15))+K42-K44</f>
        <v>32.5202355311768</v>
      </c>
      <c r="L43" s="28" t="n">
        <f aca="false">(K43*(1-$B$15))+L42-L44</f>
        <v>39.5446284652415</v>
      </c>
      <c r="M43" s="28" t="n">
        <f aca="false">(L43*(1-$B$15))+M42-M44</f>
        <v>47.3582896112843</v>
      </c>
    </row>
    <row r="44" customFormat="false" ht="15" hidden="false" customHeight="false" outlineLevel="0" collapsed="false">
      <c r="A44" s="22" t="s">
        <v>102</v>
      </c>
      <c r="B44" s="28" t="n">
        <v>0</v>
      </c>
      <c r="C44" s="28" t="n">
        <f aca="false">ROUND(B43*$B$9,0)</f>
        <v>0</v>
      </c>
      <c r="D44" s="28" t="n">
        <f aca="false">ROUND(C43*$B$9,0)</f>
        <v>0</v>
      </c>
      <c r="E44" s="28" t="n">
        <f aca="false">ROUND(D43*$B$9,0)</f>
        <v>0</v>
      </c>
      <c r="F44" s="28" t="n">
        <f aca="false">ROUND(E43*$B$9,0)</f>
        <v>0</v>
      </c>
      <c r="G44" s="28" t="n">
        <f aca="false">ROUND(F43*$B$9,0)</f>
        <v>0</v>
      </c>
      <c r="H44" s="28" t="n">
        <f aca="false">ROUND(G43*$B$9,0)</f>
        <v>1</v>
      </c>
      <c r="I44" s="28" t="n">
        <f aca="false">ROUND(H43*$B$9,0)</f>
        <v>1</v>
      </c>
      <c r="J44" s="28" t="n">
        <f aca="false">ROUND(I43*$B$9,0)</f>
        <v>1</v>
      </c>
      <c r="K44" s="28" t="n">
        <f aca="false">ROUND(J43*$B$9,0)</f>
        <v>1</v>
      </c>
      <c r="L44" s="28" t="n">
        <f aca="false">ROUND(K43*$B$9,0)</f>
        <v>2</v>
      </c>
      <c r="M44" s="28" t="n">
        <f aca="false">ROUND(L43*$B$9,0)</f>
        <v>2</v>
      </c>
    </row>
    <row r="45" customFormat="false" ht="15" hidden="false" customHeight="false" outlineLevel="0" collapsed="false">
      <c r="A45" s="19" t="s">
        <v>103</v>
      </c>
      <c r="B45" s="28" t="n">
        <f aca="false">B44</f>
        <v>0</v>
      </c>
      <c r="C45" s="28" t="n">
        <f aca="false">(B45*(1-$B$15))+C44</f>
        <v>0</v>
      </c>
      <c r="D45" s="28" t="n">
        <f aca="false">(C45*(1-$B$15))+D44</f>
        <v>0</v>
      </c>
      <c r="E45" s="28" t="n">
        <f aca="false">(D45*(1-$B$15))+E44</f>
        <v>0</v>
      </c>
      <c r="F45" s="28" t="n">
        <f aca="false">(E45*(1-$B$15))+F44</f>
        <v>0</v>
      </c>
      <c r="G45" s="28" t="n">
        <f aca="false">(F45*(1-$B$15))+G44</f>
        <v>0</v>
      </c>
      <c r="H45" s="28" t="n">
        <f aca="false">(G45*(1-$B$15))+H44</f>
        <v>1</v>
      </c>
      <c r="I45" s="28" t="n">
        <f aca="false">(H45*(1-$B$15))+I44</f>
        <v>1.97</v>
      </c>
      <c r="J45" s="28" t="n">
        <f aca="false">(I45*(1-$B$15))+J44</f>
        <v>2.9109</v>
      </c>
      <c r="K45" s="28" t="n">
        <f aca="false">(J45*(1-$B$15))+K44</f>
        <v>3.823573</v>
      </c>
      <c r="L45" s="28" t="n">
        <f aca="false">(K45*(1-$B$15))+L44</f>
        <v>5.70886581</v>
      </c>
      <c r="M45" s="28" t="n">
        <f aca="false">(L45*(1-$B$15))+M44</f>
        <v>7.5375998357</v>
      </c>
    </row>
    <row r="46" customFormat="false" ht="15" hidden="false" customHeight="false" outlineLevel="0" collapsed="false">
      <c r="A46" s="32"/>
    </row>
    <row r="47" customFormat="false" ht="15" hidden="false" customHeight="false" outlineLevel="0" collapsed="false">
      <c r="A47" s="22" t="s">
        <v>104</v>
      </c>
      <c r="B47" s="30" t="n">
        <f aca="false">B41*$B$10</f>
        <v>200</v>
      </c>
      <c r="C47" s="30" t="n">
        <f aca="false">C41*$B$10</f>
        <v>374</v>
      </c>
      <c r="D47" s="30" t="n">
        <f aca="false">D41*$B$10</f>
        <v>682.78</v>
      </c>
      <c r="E47" s="30" t="n">
        <f aca="false">E41*$B$10</f>
        <v>1082.2966</v>
      </c>
      <c r="F47" s="30" t="n">
        <f aca="false">F41*$B$10</f>
        <v>1529.827702</v>
      </c>
      <c r="G47" s="30" t="n">
        <f aca="false">G41*$B$10</f>
        <v>2023.93287094</v>
      </c>
      <c r="H47" s="30" t="n">
        <f aca="false">H41*$B$10</f>
        <v>2543.2148848118</v>
      </c>
      <c r="I47" s="30" t="n">
        <f aca="false">I41*$B$10</f>
        <v>3066.91843826745</v>
      </c>
      <c r="J47" s="30" t="n">
        <f aca="false">J41*$B$10</f>
        <v>3554.91088511942</v>
      </c>
      <c r="K47" s="30" t="n">
        <f aca="false">K41*$B$10</f>
        <v>4028.26355856584</v>
      </c>
      <c r="L47" s="30" t="n">
        <f aca="false">L41*$B$10</f>
        <v>4487.41565180887</v>
      </c>
      <c r="M47" s="30" t="n">
        <f aca="false">M41*$B$10</f>
        <v>4932.7931822546</v>
      </c>
      <c r="N47" s="31" t="n">
        <f aca="false">SUM(B47:M47)</f>
        <v>28506.353773768</v>
      </c>
    </row>
    <row r="48" customFormat="false" ht="15" hidden="false" customHeight="false" outlineLevel="0" collapsed="false">
      <c r="A48" s="22" t="s">
        <v>105</v>
      </c>
      <c r="B48" s="30" t="n">
        <f aca="false">B43*$B$11</f>
        <v>0</v>
      </c>
      <c r="C48" s="30" t="n">
        <f aca="false">C43*$B$11</f>
        <v>80</v>
      </c>
      <c r="D48" s="30" t="n">
        <f aca="false">D43*$B$11</f>
        <v>157.6</v>
      </c>
      <c r="E48" s="30" t="n">
        <f aca="false">E43*$B$11</f>
        <v>312.872</v>
      </c>
      <c r="F48" s="30" t="n">
        <f aca="false">F43*$B$11</f>
        <v>543.48584</v>
      </c>
      <c r="G48" s="30" t="n">
        <f aca="false">G43*$B$11</f>
        <v>847.1812648</v>
      </c>
      <c r="H48" s="30" t="n">
        <f aca="false">H43*$B$11</f>
        <v>1141.765826856</v>
      </c>
      <c r="I48" s="30" t="n">
        <f aca="false">I43*$B$11</f>
        <v>1507.51285205032</v>
      </c>
      <c r="J48" s="30" t="n">
        <f aca="false">J43*$B$11</f>
        <v>2022.28746648881</v>
      </c>
      <c r="K48" s="30" t="n">
        <f aca="false">K43*$B$11</f>
        <v>2601.61884249415</v>
      </c>
      <c r="L48" s="30" t="n">
        <f aca="false">L43*$B$11</f>
        <v>3163.57027721932</v>
      </c>
      <c r="M48" s="30" t="n">
        <f aca="false">M43*$B$11</f>
        <v>3788.66316890274</v>
      </c>
      <c r="N48" s="31" t="n">
        <f aca="false">SUM(B48:M48)</f>
        <v>16166.5575388113</v>
      </c>
    </row>
    <row r="49" customFormat="false" ht="15" hidden="false" customHeight="false" outlineLevel="0" collapsed="false">
      <c r="A49" s="22" t="s">
        <v>106</v>
      </c>
      <c r="B49" s="30" t="n">
        <f aca="false">B45*$B$12</f>
        <v>0</v>
      </c>
      <c r="C49" s="30" t="n">
        <f aca="false">C45*$B$12</f>
        <v>0</v>
      </c>
      <c r="D49" s="30" t="n">
        <f aca="false">D45*$B$12</f>
        <v>0</v>
      </c>
      <c r="E49" s="30" t="n">
        <f aca="false">E45*$B$12</f>
        <v>0</v>
      </c>
      <c r="F49" s="30" t="n">
        <f aca="false">F45*$B$12</f>
        <v>0</v>
      </c>
      <c r="G49" s="30" t="n">
        <f aca="false">G45*$B$12</f>
        <v>0</v>
      </c>
      <c r="H49" s="30" t="n">
        <f aca="false">H45*$B$12</f>
        <v>300</v>
      </c>
      <c r="I49" s="30" t="n">
        <f aca="false">I45*$B$12</f>
        <v>591</v>
      </c>
      <c r="J49" s="30" t="n">
        <f aca="false">J45*$B$12</f>
        <v>873.27</v>
      </c>
      <c r="K49" s="30" t="n">
        <f aca="false">K45*$B$12</f>
        <v>1147.0719</v>
      </c>
      <c r="L49" s="30" t="n">
        <f aca="false">L45*$B$12</f>
        <v>1712.659743</v>
      </c>
      <c r="M49" s="30" t="n">
        <f aca="false">M45*$B$12</f>
        <v>2261.27995071</v>
      </c>
      <c r="N49" s="31" t="n">
        <f aca="false">SUM(B49:M49)</f>
        <v>6885.28159371</v>
      </c>
    </row>
    <row r="50" customFormat="false" ht="15" hidden="false" customHeight="false" outlineLevel="0" collapsed="false">
      <c r="A50" s="32" t="s">
        <v>107</v>
      </c>
      <c r="B50" s="36" t="n">
        <f aca="false">B47+B48+B49</f>
        <v>200</v>
      </c>
      <c r="C50" s="36" t="n">
        <f aca="false">C47+C48+C49</f>
        <v>454</v>
      </c>
      <c r="D50" s="36" t="n">
        <f aca="false">D47+D48+D49</f>
        <v>840.38</v>
      </c>
      <c r="E50" s="36" t="n">
        <f aca="false">E47+E48+E49</f>
        <v>1395.1686</v>
      </c>
      <c r="F50" s="36" t="n">
        <f aca="false">F47+F48+F49</f>
        <v>2073.313542</v>
      </c>
      <c r="G50" s="36" t="n">
        <f aca="false">G47+G48+G49</f>
        <v>2871.11413574</v>
      </c>
      <c r="H50" s="36" t="n">
        <f aca="false">H47+H48+H49</f>
        <v>3984.9807116678</v>
      </c>
      <c r="I50" s="36" t="n">
        <f aca="false">I47+I48+I49</f>
        <v>5165.43129031777</v>
      </c>
      <c r="J50" s="36" t="n">
        <f aca="false">J47+J48+J49</f>
        <v>6450.46835160823</v>
      </c>
      <c r="K50" s="36" t="n">
        <f aca="false">K47+K48+K49</f>
        <v>7776.95430105999</v>
      </c>
      <c r="L50" s="36" t="n">
        <f aca="false">L47+L48+L49</f>
        <v>9363.64567202819</v>
      </c>
      <c r="M50" s="36" t="n">
        <f aca="false">M47+M48+M49</f>
        <v>10982.7363018673</v>
      </c>
      <c r="N50" s="31" t="n">
        <f aca="false">SUM(B50:M50)</f>
        <v>51558.1929062893</v>
      </c>
    </row>
    <row r="51" customFormat="false" ht="15" hidden="false" customHeight="false" outlineLevel="0" collapsed="false">
      <c r="A51" s="32" t="s">
        <v>108</v>
      </c>
      <c r="B51" s="34" t="n">
        <f aca="false">B50</f>
        <v>200</v>
      </c>
      <c r="C51" s="34" t="n">
        <f aca="false">B51+C50</f>
        <v>654</v>
      </c>
      <c r="D51" s="34" t="n">
        <f aca="false">C51+D50</f>
        <v>1494.38</v>
      </c>
      <c r="E51" s="34" t="n">
        <f aca="false">D51+E50</f>
        <v>2889.5486</v>
      </c>
      <c r="F51" s="34" t="n">
        <f aca="false">E51+F50</f>
        <v>4962.862142</v>
      </c>
      <c r="G51" s="34" t="n">
        <f aca="false">F51+G50</f>
        <v>7833.97627774</v>
      </c>
      <c r="H51" s="34" t="n">
        <f aca="false">G51+H50</f>
        <v>11818.9569894078</v>
      </c>
      <c r="I51" s="34" t="n">
        <f aca="false">H51+I50</f>
        <v>16984.3882797256</v>
      </c>
      <c r="J51" s="34" t="n">
        <f aca="false">I51+J50</f>
        <v>23434.8566313338</v>
      </c>
      <c r="K51" s="34" t="n">
        <f aca="false">J51+K50</f>
        <v>31211.8109323938</v>
      </c>
      <c r="L51" s="34" t="n">
        <f aca="false">K51+L50</f>
        <v>40575.456604422</v>
      </c>
      <c r="M51" s="34" t="n">
        <f aca="false">L51+M50</f>
        <v>51558.1929062893</v>
      </c>
      <c r="N51" s="31" t="n">
        <f aca="false">M51</f>
        <v>51558.1929062893</v>
      </c>
    </row>
    <row r="54" customFormat="false" ht="12.65" hidden="false" customHeight="false" outlineLevel="0" collapsed="false">
      <c r="A54" s="3" t="s">
        <v>110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Format="false" ht="15" hidden="false" customHeight="false" outlineLevel="0" collapsed="false">
      <c r="A55" s="32" t="s">
        <v>111</v>
      </c>
      <c r="B55" s="33" t="n">
        <f aca="false">N33</f>
        <v>26163.6103022548</v>
      </c>
    </row>
    <row r="56" customFormat="false" ht="15" hidden="false" customHeight="false" outlineLevel="0" collapsed="false">
      <c r="A56" s="32" t="s">
        <v>112</v>
      </c>
      <c r="B56" s="36" t="n">
        <f aca="false">N51</f>
        <v>51558.1929062893</v>
      </c>
    </row>
    <row r="57" customFormat="false" ht="15" hidden="false" customHeight="false" outlineLevel="0" collapsed="false">
      <c r="A57" s="32" t="s">
        <v>113</v>
      </c>
      <c r="B57" s="37" t="n">
        <f aca="false">B56-B55</f>
        <v>25394.5826040345</v>
      </c>
    </row>
    <row r="58" customFormat="false" ht="15" hidden="false" customHeight="false" outlineLevel="0" collapsed="false">
      <c r="A58" s="32" t="s">
        <v>114</v>
      </c>
      <c r="B58" s="38" t="n">
        <f aca="false">IF(B55&gt;0,(B56-B55)/B55,0)</f>
        <v>0.970606973222118</v>
      </c>
    </row>
    <row r="59" customFormat="false" ht="15" hidden="false" customHeight="false" outlineLevel="0" collapsed="false">
      <c r="A59" s="32"/>
      <c r="B59" s="39"/>
    </row>
    <row r="60" customFormat="false" ht="15" hidden="false" customHeight="false" outlineLevel="0" collapsed="false">
      <c r="A60" s="32" t="s">
        <v>115</v>
      </c>
      <c r="B60" s="40" t="n">
        <f aca="false">M23+M25+M27</f>
        <v>123.468820631923</v>
      </c>
    </row>
    <row r="61" customFormat="false" ht="15" hidden="false" customHeight="false" outlineLevel="0" collapsed="false">
      <c r="A61" s="32" t="s">
        <v>116</v>
      </c>
      <c r="B61" s="41" t="n">
        <f aca="false">M41+M43+M45</f>
        <v>301.535548559714</v>
      </c>
    </row>
    <row r="62" customFormat="false" ht="15" hidden="false" customHeight="false" outlineLevel="0" collapsed="false">
      <c r="A62" s="32" t="s">
        <v>117</v>
      </c>
      <c r="B62" s="40" t="n">
        <f aca="false">M21+M23+M25+M27</f>
        <v>331.68386915395</v>
      </c>
    </row>
    <row r="63" customFormat="false" ht="15" hidden="false" customHeight="false" outlineLevel="0" collapsed="false">
      <c r="A63" s="32" t="s">
        <v>118</v>
      </c>
      <c r="B63" s="41" t="n">
        <f aca="false">M39+M41+M43+M45</f>
        <v>572.219509166002</v>
      </c>
    </row>
  </sheetData>
  <mergeCells count="5">
    <mergeCell ref="A1:O1"/>
    <mergeCell ref="A3:F3"/>
    <mergeCell ref="A18:O18"/>
    <mergeCell ref="A36:O36"/>
    <mergeCell ref="A54:O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1" customFormat="false" ht="17.9" hidden="false" customHeight="false" outlineLevel="0" collapsed="false">
      <c r="A1" s="42" t="s">
        <v>119</v>
      </c>
    </row>
    <row r="3" customFormat="false" ht="15" hidden="false" customHeight="false" outlineLevel="0" collapsed="false">
      <c r="A3" s="43" t="s">
        <v>120</v>
      </c>
    </row>
    <row r="4" customFormat="false" ht="15" hidden="false" customHeight="false" outlineLevel="0" collapsed="false">
      <c r="A4" s="44" t="s">
        <v>121</v>
      </c>
    </row>
    <row r="5" customFormat="false" ht="15" hidden="false" customHeight="false" outlineLevel="0" collapsed="false">
      <c r="A5" s="44" t="s">
        <v>122</v>
      </c>
    </row>
    <row r="6" customFormat="false" ht="15" hidden="false" customHeight="false" outlineLevel="0" collapsed="false">
      <c r="A6" s="44" t="s">
        <v>123</v>
      </c>
    </row>
    <row r="7" customFormat="false" ht="15" hidden="false" customHeight="false" outlineLevel="0" collapsed="false">
      <c r="A7" s="45" t="s">
        <v>124</v>
      </c>
    </row>
    <row r="9" customFormat="false" ht="14.9" hidden="false" customHeight="false" outlineLevel="0" collapsed="false">
      <c r="A9" s="46" t="s">
        <v>125</v>
      </c>
    </row>
    <row r="10" customFormat="false" ht="15" hidden="false" customHeight="false" outlineLevel="0" collapsed="false">
      <c r="A10" s="44" t="s">
        <v>126</v>
      </c>
    </row>
    <row r="11" customFormat="false" ht="15" hidden="false" customHeight="false" outlineLevel="0" collapsed="false">
      <c r="A11" s="44" t="s">
        <v>127</v>
      </c>
    </row>
    <row r="12" customFormat="false" ht="15" hidden="false" customHeight="false" outlineLevel="0" collapsed="false">
      <c r="A12" s="45" t="s">
        <v>128</v>
      </c>
    </row>
    <row r="13" customFormat="false" ht="15" hidden="false" customHeight="false" outlineLevel="0" collapsed="false">
      <c r="A13" s="44" t="s">
        <v>129</v>
      </c>
    </row>
    <row r="15" customFormat="false" ht="15" hidden="false" customHeight="false" outlineLevel="0" collapsed="false">
      <c r="A15" s="43" t="s">
        <v>130</v>
      </c>
    </row>
    <row r="16" customFormat="false" ht="15" hidden="false" customHeight="false" outlineLevel="0" collapsed="false">
      <c r="A16" s="45" t="s">
        <v>131</v>
      </c>
    </row>
    <row r="17" customFormat="false" ht="15" hidden="false" customHeight="false" outlineLevel="0" collapsed="false">
      <c r="A17" s="45" t="s">
        <v>132</v>
      </c>
    </row>
    <row r="18" customFormat="false" ht="15" hidden="false" customHeight="false" outlineLevel="0" collapsed="false">
      <c r="A18" s="45" t="s">
        <v>133</v>
      </c>
    </row>
    <row r="19" customFormat="false" ht="15" hidden="false" customHeight="false" outlineLevel="0" collapsed="false">
      <c r="A19" s="44" t="s">
        <v>134</v>
      </c>
    </row>
    <row r="21" customFormat="false" ht="15" hidden="false" customHeight="false" outlineLevel="0" collapsed="false">
      <c r="A21" s="43" t="s">
        <v>135</v>
      </c>
    </row>
    <row r="22" customFormat="false" ht="15" hidden="false" customHeight="false" outlineLevel="0" collapsed="false">
      <c r="A22" s="44" t="s">
        <v>136</v>
      </c>
    </row>
    <row r="23" customFormat="false" ht="15" hidden="false" customHeight="false" outlineLevel="0" collapsed="false">
      <c r="A23" s="45" t="s">
        <v>137</v>
      </c>
    </row>
    <row r="24" customFormat="false" ht="15" hidden="false" customHeight="false" outlineLevel="0" collapsed="false">
      <c r="A24" s="45" t="s">
        <v>138</v>
      </c>
    </row>
    <row r="26" customFormat="false" ht="15" hidden="false" customHeight="false" outlineLevel="0" collapsed="false">
      <c r="A26" s="43" t="s">
        <v>139</v>
      </c>
    </row>
    <row r="27" customFormat="false" ht="15" hidden="false" customHeight="false" outlineLevel="0" collapsed="false">
      <c r="A27" s="44" t="s">
        <v>140</v>
      </c>
    </row>
    <row r="28" customFormat="false" ht="15" hidden="false" customHeight="false" outlineLevel="0" collapsed="false">
      <c r="A28" s="44" t="s">
        <v>141</v>
      </c>
    </row>
    <row r="29" customFormat="false" ht="15" hidden="false" customHeight="false" outlineLevel="0" collapsed="false">
      <c r="A29" s="44" t="s">
        <v>142</v>
      </c>
    </row>
    <row r="30" customFormat="false" ht="15" hidden="false" customHeight="false" outlineLevel="0" collapsed="false">
      <c r="A30" s="45" t="s">
        <v>143</v>
      </c>
    </row>
    <row r="32" customFormat="false" ht="15" hidden="false" customHeight="false" outlineLevel="0" collapsed="false">
      <c r="A32" s="43" t="s">
        <v>144</v>
      </c>
    </row>
    <row r="33" customFormat="false" ht="15" hidden="false" customHeight="false" outlineLevel="0" collapsed="false">
      <c r="A33" s="44" t="s">
        <v>145</v>
      </c>
    </row>
    <row r="34" customFormat="false" ht="15" hidden="false" customHeight="false" outlineLevel="0" collapsed="false">
      <c r="A34" s="45" t="s">
        <v>146</v>
      </c>
    </row>
    <row r="35" customFormat="false" ht="15" hidden="false" customHeight="false" outlineLevel="0" collapsed="false">
      <c r="A35" s="44" t="s">
        <v>147</v>
      </c>
    </row>
    <row r="36" customFormat="false" ht="15" hidden="false" customHeight="false" outlineLevel="0" collapsed="false">
      <c r="A36" s="45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2026-03-14T07:23:21Z</dcterms:created>
  <dc:creator>openpyxl</dc:creator>
  <dc:description/>
  <dc:language>en-US</dc:language>
  <cp:lastModifiedBy/>
  <dcterms:modified xsi:type="dcterms:W3CDTF">2026-03-14T07:23:21Z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